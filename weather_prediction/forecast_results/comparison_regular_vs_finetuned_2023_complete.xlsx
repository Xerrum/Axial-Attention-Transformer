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gan\PycharmProjects\presence_prediction\weather_prediction\forecast_results\"/>
    </mc:Choice>
  </mc:AlternateContent>
  <xr:revisionPtr revIDLastSave="0" documentId="13_ncr:1_{D356A8F4-564A-4747-96B3-86DF6735C7B6}" xr6:coauthVersionLast="47" xr6:coauthVersionMax="47" xr10:uidLastSave="{00000000-0000-0000-0000-000000000000}"/>
  <bookViews>
    <workbookView xWindow="-110" yWindow="-110" windowWidth="19420" windowHeight="10300" activeTab="2" xr2:uid="{036E02B9-92B4-4353-A0CE-F440D9BB9055}"/>
  </bookViews>
  <sheets>
    <sheet name="comparison_lgcxt" sheetId="1" r:id="rId1"/>
    <sheet name="comp_reg" sheetId="2" r:id="rId2"/>
    <sheet name="comp_reg_lgct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23" i="1"/>
  <c r="F4" i="3"/>
  <c r="F12" i="3"/>
  <c r="F20" i="3"/>
  <c r="F2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D3" i="3"/>
  <c r="F3" i="3" s="1"/>
  <c r="D4" i="3"/>
  <c r="D5" i="3"/>
  <c r="F5" i="3" s="1"/>
  <c r="D6" i="3"/>
  <c r="F6" i="3" s="1"/>
  <c r="D7" i="3"/>
  <c r="F7" i="3" s="1"/>
  <c r="D8" i="3"/>
  <c r="F8" i="3" s="1"/>
  <c r="D9" i="3"/>
  <c r="F9" i="3" s="1"/>
  <c r="D10" i="3"/>
  <c r="F10" i="3" s="1"/>
  <c r="D11" i="3"/>
  <c r="F11" i="3" s="1"/>
  <c r="D12" i="3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D21" i="3"/>
  <c r="F21" i="3" s="1"/>
  <c r="D22" i="3"/>
  <c r="F22" i="3" s="1"/>
  <c r="D23" i="3"/>
  <c r="F23" i="3" s="1"/>
  <c r="D24" i="3"/>
  <c r="F24" i="3" s="1"/>
  <c r="D25" i="3"/>
  <c r="F25" i="3" s="1"/>
  <c r="D26" i="3"/>
  <c r="F26" i="3" s="1"/>
  <c r="D27" i="3"/>
  <c r="F27" i="3" s="1"/>
  <c r="D28" i="3"/>
  <c r="D29" i="3"/>
  <c r="F29" i="3" s="1"/>
  <c r="D30" i="3"/>
  <c r="F30" i="3" s="1"/>
  <c r="D2" i="3"/>
  <c r="F2" i="3" s="1"/>
  <c r="F5" i="2"/>
  <c r="F13" i="2"/>
  <c r="F21" i="2"/>
  <c r="F2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2" i="2"/>
  <c r="D3" i="2"/>
  <c r="F3" i="2" s="1"/>
  <c r="D4" i="2"/>
  <c r="F4" i="2" s="1"/>
  <c r="D5" i="2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D30" i="2"/>
  <c r="F30" i="2" s="1"/>
  <c r="D2" i="2"/>
  <c r="F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E2" i="1"/>
  <c r="D2" i="1"/>
  <c r="F2" i="1" s="1"/>
</calcChain>
</file>

<file path=xl/sharedStrings.xml><?xml version="1.0" encoding="utf-8"?>
<sst xmlns="http://schemas.openxmlformats.org/spreadsheetml/2006/main" count="350" uniqueCount="102">
  <si>
    <t>g0la7ajz</t>
  </si>
  <si>
    <t xml:space="preserve">  Channel </t>
  </si>
  <si>
    <t xml:space="preserve">       Min </t>
  </si>
  <si>
    <t xml:space="preserve">        Max </t>
  </si>
  <si>
    <t xml:space="preserve">       Mean </t>
  </si>
  <si>
    <t xml:space="preserve">      Std </t>
  </si>
  <si>
    <t xml:space="preserve">    Unit </t>
  </si>
  <si>
    <t>Positiv heißt finetuned is schlechter!!</t>
  </si>
  <si>
    <t>t2m</t>
  </si>
  <si>
    <t xml:space="preserve">      t2m </t>
  </si>
  <si>
    <t xml:space="preserve">       K </t>
  </si>
  <si>
    <t>Finetuned - Regular = Differenz</t>
  </si>
  <si>
    <t>d2m</t>
  </si>
  <si>
    <t xml:space="preserve">      d2m </t>
  </si>
  <si>
    <t>u10</t>
  </si>
  <si>
    <t xml:space="preserve">      u10 </t>
  </si>
  <si>
    <t xml:space="preserve"> m/s </t>
  </si>
  <si>
    <t>0.5K temperature</t>
  </si>
  <si>
    <t>v10</t>
  </si>
  <si>
    <t xml:space="preserve">      v10 </t>
  </si>
  <si>
    <t>0.3 m/s wind</t>
  </si>
  <si>
    <t>msl</t>
  </si>
  <si>
    <t xml:space="preserve">      msl </t>
  </si>
  <si>
    <t xml:space="preserve">      Pa </t>
  </si>
  <si>
    <t>2% relative humidity</t>
  </si>
  <si>
    <t>t_1000hPa</t>
  </si>
  <si>
    <t xml:space="preserve">t_1000hPa </t>
  </si>
  <si>
    <t>0.3hPa pressure</t>
  </si>
  <si>
    <t>r_1000hPa</t>
  </si>
  <si>
    <t xml:space="preserve">r_1000hPa </t>
  </si>
  <si>
    <t xml:space="preserve">       % </t>
  </si>
  <si>
    <t>u_1000hPa</t>
  </si>
  <si>
    <t xml:space="preserve">u_1000hPa </t>
  </si>
  <si>
    <t>v_1000hPa</t>
  </si>
  <si>
    <t xml:space="preserve">v_1000hPa </t>
  </si>
  <si>
    <t>t_925hPa</t>
  </si>
  <si>
    <t xml:space="preserve"> t_925hPa </t>
  </si>
  <si>
    <t>r_925hPa</t>
  </si>
  <si>
    <t xml:space="preserve"> r_925hPa </t>
  </si>
  <si>
    <t>u_925hPa</t>
  </si>
  <si>
    <t xml:space="preserve"> u_925hPa </t>
  </si>
  <si>
    <t>v_925hPa</t>
  </si>
  <si>
    <t xml:space="preserve"> v_925hPa </t>
  </si>
  <si>
    <t>t_850hPa</t>
  </si>
  <si>
    <t xml:space="preserve"> t_850hPa </t>
  </si>
  <si>
    <t>r_850hPa</t>
  </si>
  <si>
    <t xml:space="preserve"> r_850hPa </t>
  </si>
  <si>
    <t>u_850hPa</t>
  </si>
  <si>
    <t xml:space="preserve"> u_850hPa </t>
  </si>
  <si>
    <t>v_850hPa</t>
  </si>
  <si>
    <t xml:space="preserve"> v_850hPa </t>
  </si>
  <si>
    <t>t_700hPa</t>
  </si>
  <si>
    <t xml:space="preserve"> t_700hPa </t>
  </si>
  <si>
    <t>r_700hPa</t>
  </si>
  <si>
    <t xml:space="preserve"> r_700hPa </t>
  </si>
  <si>
    <t>u_700hPa</t>
  </si>
  <si>
    <t xml:space="preserve"> u_700hPa </t>
  </si>
  <si>
    <t>v_700hPa</t>
  </si>
  <si>
    <t xml:space="preserve"> v_700hPa </t>
  </si>
  <si>
    <t>t_500hPa</t>
  </si>
  <si>
    <t xml:space="preserve"> t_500hPa </t>
  </si>
  <si>
    <t>r_500hPa</t>
  </si>
  <si>
    <t xml:space="preserve"> r_500hPa </t>
  </si>
  <si>
    <t>u_500hPa</t>
  </si>
  <si>
    <t xml:space="preserve"> u_500hPa </t>
  </si>
  <si>
    <t>v_500hPa</t>
  </si>
  <si>
    <t xml:space="preserve"> v_500hPa </t>
  </si>
  <si>
    <t>t_300hPa</t>
  </si>
  <si>
    <t xml:space="preserve"> t_300hPa </t>
  </si>
  <si>
    <t>r_300hPa</t>
  </si>
  <si>
    <t xml:space="preserve"> r_300hPa </t>
  </si>
  <si>
    <t>u_300hPa</t>
  </si>
  <si>
    <t xml:space="preserve"> u_300hPa </t>
  </si>
  <si>
    <t>v_300hPa</t>
  </si>
  <si>
    <t xml:space="preserve"> v_300hPa </t>
  </si>
  <si>
    <r>
      <rPr>
        <sz val="11"/>
        <color theme="1"/>
        <rFont val="Aptos"/>
        <family val="2"/>
        <charset val="1"/>
      </rPr>
      <t>∆</t>
    </r>
    <r>
      <rPr>
        <sz val="11"/>
        <color theme="1"/>
        <rFont val="Aptos Narrow"/>
        <family val="2"/>
        <scheme val="minor"/>
      </rPr>
      <t>MSE</t>
    </r>
  </si>
  <si>
    <t>∆% MSE</t>
  </si>
  <si>
    <t>∆RMSE</t>
  </si>
  <si>
    <t>0j5y1a5u</t>
  </si>
  <si>
    <t>17 rot</t>
  </si>
  <si>
    <t>7 grün</t>
  </si>
  <si>
    <t>5 nichts</t>
  </si>
  <si>
    <t>hPa</t>
  </si>
  <si>
    <t>Channel</t>
  </si>
  <si>
    <t>Min</t>
  </si>
  <si>
    <t>Max</t>
  </si>
  <si>
    <t>Mean</t>
  </si>
  <si>
    <t>Std</t>
  </si>
  <si>
    <t>Unit</t>
  </si>
  <si>
    <t>K</t>
  </si>
  <si>
    <t>m/s</t>
  </si>
  <si>
    <t>Pa</t>
  </si>
  <si>
    <t>%</t>
  </si>
  <si>
    <t>30Pa pressure</t>
  </si>
  <si>
    <t>5 grün</t>
  </si>
  <si>
    <t>27 rot</t>
  </si>
  <si>
    <t>30hPa pressure</t>
  </si>
  <si>
    <t>0j5y1a5u MSE Reg</t>
  </si>
  <si>
    <t>gg9008fi MSE FT</t>
  </si>
  <si>
    <t>σ</t>
  </si>
  <si>
    <t>78s3mxnx MSE FT</t>
  </si>
  <si>
    <t>g0la7ajz MSE Reg Lgcxt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</si>
</sst>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  <charset val="1"/>
    </font>
    <font>
      <sz val="11"/>
      <color theme="1"/>
      <name val="Aptos Narrow"/>
      <family val="2"/>
      <charset val="1"/>
      <scheme val="minor"/>
    </font>
    <font>
      <sz val="11"/>
      <color theme="1"/>
      <name val="Aptos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9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164" fontId="0" fillId="33" borderId="0" xfId="0" applyNumberFormat="1" applyFill="1"/>
    <xf numFmtId="164" fontId="0" fillId="39" borderId="0" xfId="0" applyNumberFormat="1" applyFill="1"/>
    <xf numFmtId="164" fontId="0" fillId="36" borderId="0" xfId="0" applyNumberFormat="1" applyFill="1"/>
    <xf numFmtId="164" fontId="0" fillId="35" borderId="0" xfId="0" applyNumberFormat="1" applyFill="1"/>
    <xf numFmtId="164" fontId="0" fillId="34" borderId="0" xfId="0" applyNumberFormat="1" applyFill="1"/>
    <xf numFmtId="10" fontId="0" fillId="33" borderId="0" xfId="0" applyNumberFormat="1" applyFill="1"/>
    <xf numFmtId="10" fontId="0" fillId="36" borderId="0" xfId="0" applyNumberFormat="1" applyFill="1"/>
    <xf numFmtId="10" fontId="0" fillId="35" borderId="0" xfId="0" applyNumberFormat="1" applyFill="1"/>
    <xf numFmtId="10" fontId="0" fillId="34" borderId="0" xfId="0" applyNumberFormat="1" applyFill="1"/>
    <xf numFmtId="0" fontId="0" fillId="40" borderId="0" xfId="0" applyFill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164" fontId="0" fillId="36" borderId="0" xfId="0" applyNumberFormat="1" applyFill="1" applyAlignment="1">
      <alignment horizontal="center"/>
    </xf>
    <xf numFmtId="0" fontId="0" fillId="35" borderId="0" xfId="0" applyFill="1" applyAlignment="1">
      <alignment horizontal="center"/>
    </xf>
    <xf numFmtId="164" fontId="0" fillId="35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8693-5447-45A4-AB50-0E35D4BCDD8F}">
  <dimension ref="A1:Q30"/>
  <sheetViews>
    <sheetView zoomScale="55" zoomScaleNormal="55" workbookViewId="0">
      <selection activeCell="G30" sqref="A1:G30"/>
    </sheetView>
  </sheetViews>
  <sheetFormatPr baseColWidth="10" defaultRowHeight="14.5" x14ac:dyDescent="0.35"/>
  <cols>
    <col min="16" max="16" width="34.26953125" customWidth="1"/>
  </cols>
  <sheetData>
    <row r="1" spans="1:17" x14ac:dyDescent="0.35">
      <c r="B1" t="s">
        <v>101</v>
      </c>
      <c r="C1" t="s">
        <v>100</v>
      </c>
      <c r="D1" s="1" t="s">
        <v>75</v>
      </c>
      <c r="E1" t="s">
        <v>76</v>
      </c>
      <c r="F1" t="s">
        <v>77</v>
      </c>
      <c r="G1" s="19" t="s">
        <v>87</v>
      </c>
      <c r="I1" s="19" t="s">
        <v>83</v>
      </c>
      <c r="J1" s="19" t="s">
        <v>84</v>
      </c>
      <c r="K1" s="19" t="s">
        <v>85</v>
      </c>
      <c r="L1" s="19" t="s">
        <v>86</v>
      </c>
      <c r="M1" s="19" t="s">
        <v>87</v>
      </c>
      <c r="N1" s="19" t="s">
        <v>88</v>
      </c>
      <c r="P1" s="6" t="s">
        <v>7</v>
      </c>
    </row>
    <row r="2" spans="1:17" x14ac:dyDescent="0.35">
      <c r="A2" s="2" t="s">
        <v>8</v>
      </c>
      <c r="B2" s="9">
        <v>2.9720002999999998E-2</v>
      </c>
      <c r="C2" s="9">
        <v>3.9978854000000001E-2</v>
      </c>
      <c r="D2" s="9">
        <f>C2-B2</f>
        <v>1.0258851000000003E-2</v>
      </c>
      <c r="E2" s="14">
        <f>C2/B2-1</f>
        <v>0.34518337700033208</v>
      </c>
      <c r="F2" s="10">
        <f>SIGN(D2)*(ABS(D2))^(1/2)*M2</f>
        <v>0.72703080892564942</v>
      </c>
      <c r="G2" s="28">
        <v>7.1779999999999999</v>
      </c>
      <c r="I2" s="19" t="s">
        <v>8</v>
      </c>
      <c r="J2" s="28">
        <v>243.88399999999999</v>
      </c>
      <c r="K2" s="28">
        <v>313.68</v>
      </c>
      <c r="L2" s="28">
        <v>283.45299999999997</v>
      </c>
      <c r="M2" s="28">
        <v>7.1779999999999999</v>
      </c>
      <c r="N2" s="19" t="s">
        <v>89</v>
      </c>
      <c r="P2" s="7" t="s">
        <v>11</v>
      </c>
    </row>
    <row r="3" spans="1:17" x14ac:dyDescent="0.35">
      <c r="A3" s="2" t="s">
        <v>12</v>
      </c>
      <c r="B3" s="9">
        <v>3.8370902999999998E-2</v>
      </c>
      <c r="C3" s="9">
        <v>4.4480916000000002E-2</v>
      </c>
      <c r="D3" s="9">
        <f t="shared" ref="D3:D30" si="0">C3-B3</f>
        <v>6.1100130000000044E-3</v>
      </c>
      <c r="E3" s="14">
        <f t="shared" ref="E3:E30" si="1">C3/B3-1</f>
        <v>0.15923558014780115</v>
      </c>
      <c r="F3" s="10">
        <f t="shared" ref="F3:F30" si="2">SIGN(D3)*(ABS(D3))^(1/2)*M3</f>
        <v>0.50143856027326539</v>
      </c>
      <c r="G3" s="28">
        <v>6.415</v>
      </c>
      <c r="I3" s="19" t="s">
        <v>12</v>
      </c>
      <c r="J3" s="28">
        <v>231.22800000000001</v>
      </c>
      <c r="K3" s="28">
        <v>300.12599999999998</v>
      </c>
      <c r="L3" s="28">
        <v>279.56099999999998</v>
      </c>
      <c r="M3" s="28">
        <v>6.415</v>
      </c>
      <c r="N3" s="19" t="s">
        <v>89</v>
      </c>
    </row>
    <row r="4" spans="1:17" x14ac:dyDescent="0.35">
      <c r="A4" s="5" t="s">
        <v>14</v>
      </c>
      <c r="B4" s="11">
        <v>0.73941731399999999</v>
      </c>
      <c r="C4" s="11">
        <v>0.93566711700000005</v>
      </c>
      <c r="D4" s="11">
        <f t="shared" si="0"/>
        <v>0.19624980300000006</v>
      </c>
      <c r="E4" s="15">
        <f t="shared" si="1"/>
        <v>0.26541142502919546</v>
      </c>
      <c r="F4" s="10">
        <f t="shared" si="2"/>
        <v>1.8845258554836408</v>
      </c>
      <c r="G4" s="28">
        <v>4.2539999999999996</v>
      </c>
      <c r="I4" s="19" t="s">
        <v>14</v>
      </c>
      <c r="J4" s="28">
        <v>-23.803000000000001</v>
      </c>
      <c r="K4" s="28">
        <v>24.904</v>
      </c>
      <c r="L4" s="28">
        <v>1.121</v>
      </c>
      <c r="M4" s="28">
        <v>4.2539999999999996</v>
      </c>
      <c r="N4" s="19" t="s">
        <v>90</v>
      </c>
      <c r="P4" s="2" t="s">
        <v>17</v>
      </c>
    </row>
    <row r="5" spans="1:17" x14ac:dyDescent="0.35">
      <c r="A5" s="5" t="s">
        <v>18</v>
      </c>
      <c r="B5" s="11">
        <v>1.0108456320000001</v>
      </c>
      <c r="C5" s="11">
        <v>1.074953754</v>
      </c>
      <c r="D5" s="11">
        <f t="shared" si="0"/>
        <v>6.4108121999999934E-2</v>
      </c>
      <c r="E5" s="15">
        <f t="shared" si="1"/>
        <v>6.3420288885414955E-2</v>
      </c>
      <c r="F5" s="10">
        <f t="shared" si="2"/>
        <v>0.94416720346123073</v>
      </c>
      <c r="G5" s="28">
        <v>3.7290000000000001</v>
      </c>
      <c r="I5" s="19" t="s">
        <v>18</v>
      </c>
      <c r="J5" s="28">
        <v>-21.876999999999999</v>
      </c>
      <c r="K5" s="28">
        <v>23.282</v>
      </c>
      <c r="L5" s="28">
        <v>0.53400000000000003</v>
      </c>
      <c r="M5" s="28">
        <v>3.7290000000000001</v>
      </c>
      <c r="N5" s="19" t="s">
        <v>90</v>
      </c>
      <c r="P5" s="5" t="s">
        <v>20</v>
      </c>
    </row>
    <row r="6" spans="1:17" x14ac:dyDescent="0.35">
      <c r="A6" s="4" t="s">
        <v>21</v>
      </c>
      <c r="B6" s="12">
        <v>7.8719599999999999E-4</v>
      </c>
      <c r="C6" s="12">
        <v>7.8223400000000003E-4</v>
      </c>
      <c r="D6" s="12">
        <f t="shared" si="0"/>
        <v>-4.9619999999999569E-6</v>
      </c>
      <c r="E6" s="16">
        <f t="shared" si="1"/>
        <v>-6.3033856879353145E-3</v>
      </c>
      <c r="F6" s="12">
        <f t="shared" si="2"/>
        <v>-2.5534392849999392</v>
      </c>
      <c r="G6" s="28">
        <v>1146.297</v>
      </c>
      <c r="I6" s="19" t="s">
        <v>21</v>
      </c>
      <c r="J6" s="28">
        <v>95517.687999999995</v>
      </c>
      <c r="K6" s="28">
        <v>104649.43799999999</v>
      </c>
      <c r="L6" s="28">
        <v>101385.317</v>
      </c>
      <c r="M6" s="28">
        <v>1146.297</v>
      </c>
      <c r="N6" s="19" t="s">
        <v>91</v>
      </c>
      <c r="P6" s="3" t="s">
        <v>24</v>
      </c>
    </row>
    <row r="7" spans="1:17" x14ac:dyDescent="0.35">
      <c r="A7" s="2" t="s">
        <v>25</v>
      </c>
      <c r="B7" s="9">
        <v>2.1600000000000001E-2</v>
      </c>
      <c r="C7" s="9">
        <v>2.8320000000000001E-2</v>
      </c>
      <c r="D7" s="9">
        <f t="shared" si="0"/>
        <v>6.7200000000000003E-3</v>
      </c>
      <c r="E7" s="14">
        <f t="shared" si="1"/>
        <v>0.31111111111111112</v>
      </c>
      <c r="F7" s="10">
        <f t="shared" si="2"/>
        <v>0.58301051078003741</v>
      </c>
      <c r="G7" s="28">
        <v>7.1120000000000001</v>
      </c>
      <c r="I7" s="19" t="s">
        <v>25</v>
      </c>
      <c r="J7" s="28">
        <v>255.04499999999999</v>
      </c>
      <c r="K7" s="28">
        <v>314.548</v>
      </c>
      <c r="L7" s="28">
        <v>284.73200000000003</v>
      </c>
      <c r="M7" s="28">
        <v>7.1120000000000001</v>
      </c>
      <c r="N7" s="19" t="s">
        <v>89</v>
      </c>
      <c r="P7" s="4" t="s">
        <v>96</v>
      </c>
    </row>
    <row r="8" spans="1:17" x14ac:dyDescent="0.35">
      <c r="A8" s="3" t="s">
        <v>28</v>
      </c>
      <c r="B8" s="13">
        <v>0.57772999999999997</v>
      </c>
      <c r="C8" s="13">
        <v>0.61516999999999999</v>
      </c>
      <c r="D8" s="13">
        <f t="shared" si="0"/>
        <v>3.7440000000000029E-2</v>
      </c>
      <c r="E8" s="17">
        <f t="shared" si="1"/>
        <v>6.4805358904678645E-2</v>
      </c>
      <c r="F8" s="10">
        <f t="shared" si="2"/>
        <v>3.0990028823219906</v>
      </c>
      <c r="G8" s="28">
        <v>16.015999999999998</v>
      </c>
      <c r="I8" s="19" t="s">
        <v>28</v>
      </c>
      <c r="J8" s="28">
        <v>5.9989999999999997</v>
      </c>
      <c r="K8" s="28">
        <v>203.81299999999999</v>
      </c>
      <c r="L8" s="28">
        <v>76.313999999999993</v>
      </c>
      <c r="M8" s="28">
        <v>16.015999999999998</v>
      </c>
      <c r="N8" s="19" t="s">
        <v>92</v>
      </c>
    </row>
    <row r="9" spans="1:17" x14ac:dyDescent="0.35">
      <c r="A9" s="5" t="s">
        <v>31</v>
      </c>
      <c r="B9" s="11">
        <v>0.74002999999999997</v>
      </c>
      <c r="C9" s="11">
        <v>0.99060000000000004</v>
      </c>
      <c r="D9" s="11">
        <f t="shared" si="0"/>
        <v>0.25057000000000007</v>
      </c>
      <c r="E9" s="15">
        <f t="shared" si="1"/>
        <v>0.33859438130886588</v>
      </c>
      <c r="F9" s="10">
        <f t="shared" si="2"/>
        <v>2.4898335657870794</v>
      </c>
      <c r="G9" s="28">
        <v>4.9740000000000002</v>
      </c>
      <c r="I9" s="19" t="s">
        <v>31</v>
      </c>
      <c r="J9" s="28">
        <v>-25.132000000000001</v>
      </c>
      <c r="K9" s="28">
        <v>26.074999999999999</v>
      </c>
      <c r="L9" s="28">
        <v>1.2190000000000001</v>
      </c>
      <c r="M9" s="28">
        <v>4.9740000000000002</v>
      </c>
      <c r="N9" s="19" t="s">
        <v>90</v>
      </c>
    </row>
    <row r="10" spans="1:17" x14ac:dyDescent="0.35">
      <c r="A10" s="5" t="s">
        <v>33</v>
      </c>
      <c r="B10" s="11">
        <v>1.03535</v>
      </c>
      <c r="C10" s="11">
        <v>1.0789200000000001</v>
      </c>
      <c r="D10" s="11">
        <f t="shared" si="0"/>
        <v>4.3570000000000109E-2</v>
      </c>
      <c r="E10" s="15">
        <f t="shared" si="1"/>
        <v>4.2082387598396886E-2</v>
      </c>
      <c r="F10" s="10">
        <f t="shared" si="2"/>
        <v>0.89672247051136289</v>
      </c>
      <c r="G10" s="28">
        <v>4.2960000000000003</v>
      </c>
      <c r="I10" s="19" t="s">
        <v>33</v>
      </c>
      <c r="J10" s="28">
        <v>-22.663</v>
      </c>
      <c r="K10" s="28">
        <v>24.797999999999998</v>
      </c>
      <c r="L10" s="28">
        <v>0.53800000000000003</v>
      </c>
      <c r="M10" s="28">
        <v>4.2960000000000003</v>
      </c>
      <c r="N10" s="19" t="s">
        <v>90</v>
      </c>
    </row>
    <row r="11" spans="1:17" x14ac:dyDescent="0.35">
      <c r="A11" s="2" t="s">
        <v>35</v>
      </c>
      <c r="B11" s="9">
        <v>4.1516881999999998E-2</v>
      </c>
      <c r="C11" s="9">
        <v>5.1055159000000003E-2</v>
      </c>
      <c r="D11" s="9">
        <f t="shared" si="0"/>
        <v>9.5382770000000047E-3</v>
      </c>
      <c r="E11" s="14">
        <f t="shared" si="1"/>
        <v>0.22974454102791264</v>
      </c>
      <c r="F11" s="10">
        <f t="shared" si="2"/>
        <v>0.68999688715988083</v>
      </c>
      <c r="G11" s="28">
        <v>7.0650000000000004</v>
      </c>
      <c r="I11" s="19" t="s">
        <v>35</v>
      </c>
      <c r="J11" s="28">
        <v>257.755</v>
      </c>
      <c r="K11" s="28">
        <v>308.94099999999997</v>
      </c>
      <c r="L11" s="28">
        <v>280.85199999999998</v>
      </c>
      <c r="M11" s="28">
        <v>7.0650000000000004</v>
      </c>
      <c r="N11" s="19" t="s">
        <v>89</v>
      </c>
    </row>
    <row r="12" spans="1:17" x14ac:dyDescent="0.35">
      <c r="A12" s="3" t="s">
        <v>37</v>
      </c>
      <c r="B12" s="13">
        <v>0.67598999999999998</v>
      </c>
      <c r="C12" s="13">
        <v>0.72897999999999996</v>
      </c>
      <c r="D12" s="13">
        <f t="shared" si="0"/>
        <v>5.2989999999999982E-2</v>
      </c>
      <c r="E12" s="17">
        <f t="shared" si="1"/>
        <v>7.8388733561147284E-2</v>
      </c>
      <c r="F12" s="10">
        <f t="shared" si="2"/>
        <v>4.5399170123648735</v>
      </c>
      <c r="G12" s="28">
        <v>19.722000000000001</v>
      </c>
      <c r="I12" s="19" t="s">
        <v>37</v>
      </c>
      <c r="J12" s="28">
        <v>-8.3000000000000007</v>
      </c>
      <c r="K12" s="28">
        <v>199.815</v>
      </c>
      <c r="L12" s="28">
        <v>75.144000000000005</v>
      </c>
      <c r="M12" s="28">
        <v>19.722000000000001</v>
      </c>
      <c r="N12" s="19" t="s">
        <v>92</v>
      </c>
      <c r="Q12" t="s">
        <v>95</v>
      </c>
    </row>
    <row r="13" spans="1:17" x14ac:dyDescent="0.35">
      <c r="A13" s="5" t="s">
        <v>39</v>
      </c>
      <c r="B13" s="11">
        <v>0.65371000000000001</v>
      </c>
      <c r="C13" s="11">
        <v>0.85733000000000004</v>
      </c>
      <c r="D13" s="11">
        <f t="shared" si="0"/>
        <v>0.20362000000000002</v>
      </c>
      <c r="E13" s="15">
        <f t="shared" si="1"/>
        <v>0.31148368542625948</v>
      </c>
      <c r="F13" s="10">
        <f t="shared" si="2"/>
        <v>3.5210470102769151</v>
      </c>
      <c r="G13" s="28">
        <v>7.8029999999999999</v>
      </c>
      <c r="I13" s="19" t="s">
        <v>39</v>
      </c>
      <c r="J13" s="28">
        <v>-40.853000000000002</v>
      </c>
      <c r="K13" s="28">
        <v>44.146000000000001</v>
      </c>
      <c r="L13" s="28">
        <v>3.0819999999999999</v>
      </c>
      <c r="M13" s="28">
        <v>7.8029999999999999</v>
      </c>
      <c r="N13" s="19" t="s">
        <v>90</v>
      </c>
    </row>
    <row r="14" spans="1:17" x14ac:dyDescent="0.35">
      <c r="A14" s="5" t="s">
        <v>41</v>
      </c>
      <c r="B14" s="11">
        <v>1.05392</v>
      </c>
      <c r="C14" s="11">
        <v>1.12218</v>
      </c>
      <c r="D14" s="11">
        <f t="shared" si="0"/>
        <v>6.8259999999999987E-2</v>
      </c>
      <c r="E14" s="15">
        <f t="shared" si="1"/>
        <v>6.4767724305450081E-2</v>
      </c>
      <c r="F14" s="10">
        <f t="shared" si="2"/>
        <v>1.6261205040709619</v>
      </c>
      <c r="G14" s="28">
        <v>6.2240000000000002</v>
      </c>
      <c r="I14" s="19" t="s">
        <v>41</v>
      </c>
      <c r="J14" s="28">
        <v>-34.988</v>
      </c>
      <c r="K14" s="28">
        <v>34.201000000000001</v>
      </c>
      <c r="L14" s="28">
        <v>0.83799999999999997</v>
      </c>
      <c r="M14" s="28">
        <v>6.2240000000000002</v>
      </c>
      <c r="N14" s="19" t="s">
        <v>90</v>
      </c>
    </row>
    <row r="15" spans="1:17" x14ac:dyDescent="0.35">
      <c r="A15" s="2" t="s">
        <v>43</v>
      </c>
      <c r="B15" s="9">
        <v>6.6299999999999998E-2</v>
      </c>
      <c r="C15" s="9">
        <v>7.8210000000000002E-2</v>
      </c>
      <c r="D15" s="9">
        <f t="shared" si="0"/>
        <v>1.1910000000000004E-2</v>
      </c>
      <c r="E15" s="14">
        <f t="shared" si="1"/>
        <v>0.17963800904977378</v>
      </c>
      <c r="F15" s="10">
        <f t="shared" si="2"/>
        <v>0.73839351565408551</v>
      </c>
      <c r="G15" s="28">
        <v>6.766</v>
      </c>
      <c r="I15" s="19" t="s">
        <v>43</v>
      </c>
      <c r="J15" s="28">
        <v>253.68299999999999</v>
      </c>
      <c r="K15" s="28">
        <v>301.58600000000001</v>
      </c>
      <c r="L15" s="28">
        <v>277.02199999999999</v>
      </c>
      <c r="M15" s="28">
        <v>6.766</v>
      </c>
      <c r="N15" s="19" t="s">
        <v>89</v>
      </c>
    </row>
    <row r="16" spans="1:17" x14ac:dyDescent="0.35">
      <c r="A16" s="3" t="s">
        <v>45</v>
      </c>
      <c r="B16" s="13">
        <v>0.85543999999999998</v>
      </c>
      <c r="C16" s="13">
        <v>0.91954999999999998</v>
      </c>
      <c r="D16" s="13">
        <f t="shared" si="0"/>
        <v>6.411E-2</v>
      </c>
      <c r="E16" s="17">
        <f t="shared" si="1"/>
        <v>7.4943888525203395E-2</v>
      </c>
      <c r="F16" s="10">
        <f t="shared" si="2"/>
        <v>6.1274285307949539</v>
      </c>
      <c r="G16" s="28">
        <v>24.2</v>
      </c>
      <c r="I16" s="19" t="s">
        <v>45</v>
      </c>
      <c r="J16" s="28">
        <v>-5.9909999999999997</v>
      </c>
      <c r="K16" s="28">
        <v>206.18100000000001</v>
      </c>
      <c r="L16" s="28">
        <v>69.373999999999995</v>
      </c>
      <c r="M16" s="28">
        <v>24.2</v>
      </c>
      <c r="N16" s="19" t="s">
        <v>92</v>
      </c>
    </row>
    <row r="17" spans="1:14" x14ac:dyDescent="0.35">
      <c r="A17" s="5" t="s">
        <v>47</v>
      </c>
      <c r="B17" s="11">
        <v>0.61517999999999995</v>
      </c>
      <c r="C17" s="11">
        <v>0.84748000000000001</v>
      </c>
      <c r="D17" s="11">
        <f t="shared" si="0"/>
        <v>0.23230000000000006</v>
      </c>
      <c r="E17" s="15">
        <f t="shared" si="1"/>
        <v>0.37761305634123365</v>
      </c>
      <c r="F17" s="10">
        <f t="shared" si="2"/>
        <v>3.9714748494734304</v>
      </c>
      <c r="G17" s="28">
        <v>8.24</v>
      </c>
      <c r="I17" s="19" t="s">
        <v>47</v>
      </c>
      <c r="J17" s="28">
        <v>-39.677</v>
      </c>
      <c r="K17" s="28">
        <v>44.381</v>
      </c>
      <c r="L17" s="28">
        <v>4.4189999999999996</v>
      </c>
      <c r="M17" s="28">
        <v>8.24</v>
      </c>
      <c r="N17" s="19" t="s">
        <v>90</v>
      </c>
    </row>
    <row r="18" spans="1:14" x14ac:dyDescent="0.35">
      <c r="A18" s="5" t="s">
        <v>49</v>
      </c>
      <c r="B18" s="11">
        <v>0.99129</v>
      </c>
      <c r="C18" s="11">
        <v>1.07979</v>
      </c>
      <c r="D18" s="11">
        <f t="shared" si="0"/>
        <v>8.8500000000000023E-2</v>
      </c>
      <c r="E18" s="15">
        <f t="shared" si="1"/>
        <v>8.9277607965378536E-2</v>
      </c>
      <c r="F18" s="10">
        <f t="shared" si="2"/>
        <v>1.888760807646114</v>
      </c>
      <c r="G18" s="28">
        <v>6.3490000000000002</v>
      </c>
      <c r="I18" s="19" t="s">
        <v>49</v>
      </c>
      <c r="J18" s="28">
        <v>-39.555</v>
      </c>
      <c r="K18" s="28">
        <v>37.898000000000003</v>
      </c>
      <c r="L18" s="28">
        <v>0.42199999999999999</v>
      </c>
      <c r="M18" s="28">
        <v>6.3490000000000002</v>
      </c>
      <c r="N18" s="19" t="s">
        <v>90</v>
      </c>
    </row>
    <row r="19" spans="1:14" x14ac:dyDescent="0.35">
      <c r="A19" s="2" t="s">
        <v>51</v>
      </c>
      <c r="B19" s="9">
        <v>0.19547</v>
      </c>
      <c r="C19" s="9">
        <v>0.24163999999999999</v>
      </c>
      <c r="D19" s="9">
        <f t="shared" si="0"/>
        <v>4.6169999999999989E-2</v>
      </c>
      <c r="E19" s="14">
        <f t="shared" si="1"/>
        <v>0.23619992837775605</v>
      </c>
      <c r="F19" s="10">
        <f t="shared" si="2"/>
        <v>1.3693796062195462</v>
      </c>
      <c r="G19" s="28">
        <v>6.3730000000000002</v>
      </c>
      <c r="I19" s="19" t="s">
        <v>51</v>
      </c>
      <c r="J19" s="28">
        <v>246.93299999999999</v>
      </c>
      <c r="K19" s="28">
        <v>288.209</v>
      </c>
      <c r="L19" s="28">
        <v>268.82900000000001</v>
      </c>
      <c r="M19" s="28">
        <v>6.3730000000000002</v>
      </c>
      <c r="N19" s="19" t="s">
        <v>89</v>
      </c>
    </row>
    <row r="20" spans="1:14" x14ac:dyDescent="0.35">
      <c r="A20" s="3" t="s">
        <v>53</v>
      </c>
      <c r="B20" s="13">
        <v>0.93478000000000006</v>
      </c>
      <c r="C20" s="13">
        <v>1.0740700000000001</v>
      </c>
      <c r="D20" s="13">
        <f t="shared" si="0"/>
        <v>0.13929000000000002</v>
      </c>
      <c r="E20" s="17">
        <f t="shared" si="1"/>
        <v>0.14900832281392407</v>
      </c>
      <c r="F20" s="10">
        <f t="shared" si="2"/>
        <v>10.932609119840059</v>
      </c>
      <c r="G20" s="28">
        <v>29.292999999999999</v>
      </c>
      <c r="I20" s="19" t="s">
        <v>53</v>
      </c>
      <c r="J20" s="28">
        <v>-7.79</v>
      </c>
      <c r="K20" s="28">
        <v>134.40100000000001</v>
      </c>
      <c r="L20" s="28">
        <v>54.890999999999998</v>
      </c>
      <c r="M20" s="28">
        <v>29.292999999999999</v>
      </c>
      <c r="N20" s="19" t="s">
        <v>92</v>
      </c>
    </row>
    <row r="21" spans="1:14" x14ac:dyDescent="0.35">
      <c r="A21" s="5" t="s">
        <v>55</v>
      </c>
      <c r="B21" s="11">
        <v>0.64131000000000005</v>
      </c>
      <c r="C21" s="11">
        <v>1.0588500000000001</v>
      </c>
      <c r="D21" s="11">
        <f t="shared" si="0"/>
        <v>0.41754000000000002</v>
      </c>
      <c r="E21" s="15">
        <f t="shared" si="1"/>
        <v>0.65107358375824487</v>
      </c>
      <c r="F21" s="10">
        <f t="shared" si="2"/>
        <v>5.7134647726716583</v>
      </c>
      <c r="G21" s="28">
        <v>8.8420000000000005</v>
      </c>
      <c r="I21" s="19" t="s">
        <v>55</v>
      </c>
      <c r="J21" s="28">
        <v>-34.505000000000003</v>
      </c>
      <c r="K21" s="28">
        <v>47.768000000000001</v>
      </c>
      <c r="L21" s="28">
        <v>6.6689999999999996</v>
      </c>
      <c r="M21" s="28">
        <v>8.8420000000000005</v>
      </c>
      <c r="N21" s="19" t="s">
        <v>90</v>
      </c>
    </row>
    <row r="22" spans="1:14" x14ac:dyDescent="0.35">
      <c r="A22" s="5" t="s">
        <v>57</v>
      </c>
      <c r="B22" s="11">
        <v>0.87394000000000005</v>
      </c>
      <c r="C22" s="11">
        <v>0.99978</v>
      </c>
      <c r="D22" s="11">
        <f t="shared" si="0"/>
        <v>0.12583999999999995</v>
      </c>
      <c r="E22" s="15">
        <f t="shared" si="1"/>
        <v>0.14399157836922427</v>
      </c>
      <c r="F22" s="10">
        <f t="shared" si="2"/>
        <v>2.6470649619833653</v>
      </c>
      <c r="G22" s="28">
        <v>7.4619999999999997</v>
      </c>
      <c r="I22" s="19" t="s">
        <v>57</v>
      </c>
      <c r="J22" s="28">
        <v>-34.704000000000001</v>
      </c>
      <c r="K22" s="28">
        <v>42.732999999999997</v>
      </c>
      <c r="L22" s="28">
        <v>-0.26800000000000002</v>
      </c>
      <c r="M22" s="28">
        <v>7.4619999999999997</v>
      </c>
      <c r="N22" s="19" t="s">
        <v>90</v>
      </c>
    </row>
    <row r="23" spans="1:14" x14ac:dyDescent="0.35">
      <c r="A23" s="2" t="s">
        <v>59</v>
      </c>
      <c r="B23" s="9">
        <v>0.34506999999999999</v>
      </c>
      <c r="C23" s="9">
        <v>0.50227999999999995</v>
      </c>
      <c r="D23" s="9">
        <f t="shared" si="0"/>
        <v>0.15720999999999996</v>
      </c>
      <c r="E23" s="14">
        <f t="shared" si="1"/>
        <v>0.45558872112904614</v>
      </c>
      <c r="F23" s="10">
        <f t="shared" si="2"/>
        <v>2.6180707650653749</v>
      </c>
      <c r="G23" s="28">
        <v>6.6029999999999998</v>
      </c>
      <c r="I23" s="19" t="s">
        <v>59</v>
      </c>
      <c r="J23" s="28">
        <v>228.42099999999999</v>
      </c>
      <c r="K23" s="28">
        <v>269.642</v>
      </c>
      <c r="L23" s="28">
        <v>252.79900000000001</v>
      </c>
      <c r="M23" s="28">
        <v>6.6029999999999998</v>
      </c>
      <c r="N23" s="19" t="s">
        <v>89</v>
      </c>
    </row>
    <row r="24" spans="1:14" x14ac:dyDescent="0.35">
      <c r="A24" s="3" t="s">
        <v>61</v>
      </c>
      <c r="B24" s="13">
        <v>1.01976</v>
      </c>
      <c r="C24" s="13">
        <v>1.11595</v>
      </c>
      <c r="D24" s="13">
        <f t="shared" si="0"/>
        <v>9.6189999999999998E-2</v>
      </c>
      <c r="E24" s="17">
        <f t="shared" si="1"/>
        <v>9.4326115948850653E-2</v>
      </c>
      <c r="F24" s="10">
        <f t="shared" si="2"/>
        <v>9.4947829277577487</v>
      </c>
      <c r="G24" s="28">
        <v>30.614000000000001</v>
      </c>
      <c r="I24" s="19" t="s">
        <v>61</v>
      </c>
      <c r="J24" s="28">
        <v>-10.193</v>
      </c>
      <c r="K24" s="28">
        <v>143.553</v>
      </c>
      <c r="L24" s="28">
        <v>53.350999999999999</v>
      </c>
      <c r="M24" s="28">
        <v>30.614000000000001</v>
      </c>
      <c r="N24" s="19" t="s">
        <v>92</v>
      </c>
    </row>
    <row r="25" spans="1:14" x14ac:dyDescent="0.35">
      <c r="A25" s="5" t="s">
        <v>63</v>
      </c>
      <c r="B25" s="11">
        <v>0.67945</v>
      </c>
      <c r="C25" s="11">
        <v>1.0165299999999999</v>
      </c>
      <c r="D25" s="11">
        <f t="shared" si="0"/>
        <v>0.33707999999999994</v>
      </c>
      <c r="E25" s="15">
        <f t="shared" si="1"/>
        <v>0.49610714548531898</v>
      </c>
      <c r="F25" s="10">
        <f t="shared" si="2"/>
        <v>6.7615035189874746</v>
      </c>
      <c r="G25" s="28">
        <v>11.646000000000001</v>
      </c>
      <c r="I25" s="19" t="s">
        <v>63</v>
      </c>
      <c r="J25" s="28">
        <v>-44.463999999999999</v>
      </c>
      <c r="K25" s="28">
        <v>65.424999999999997</v>
      </c>
      <c r="L25" s="28">
        <v>10.005000000000001</v>
      </c>
      <c r="M25" s="28">
        <v>11.646000000000001</v>
      </c>
      <c r="N25" s="19" t="s">
        <v>90</v>
      </c>
    </row>
    <row r="26" spans="1:14" x14ac:dyDescent="0.35">
      <c r="A26" s="5" t="s">
        <v>65</v>
      </c>
      <c r="B26" s="11">
        <v>0.82447000000000004</v>
      </c>
      <c r="C26" s="11">
        <v>0.96031999999999995</v>
      </c>
      <c r="D26" s="11">
        <f t="shared" si="0"/>
        <v>0.13584999999999992</v>
      </c>
      <c r="E26" s="15">
        <f t="shared" si="1"/>
        <v>0.16477252052833924</v>
      </c>
      <c r="F26" s="10">
        <f t="shared" si="2"/>
        <v>4.0163982786384604</v>
      </c>
      <c r="G26" s="28">
        <v>10.897</v>
      </c>
      <c r="I26" s="19" t="s">
        <v>65</v>
      </c>
      <c r="J26" s="28">
        <v>-54.683999999999997</v>
      </c>
      <c r="K26" s="28">
        <v>46.356999999999999</v>
      </c>
      <c r="L26" s="28">
        <v>-1.3149999999999999</v>
      </c>
      <c r="M26" s="28">
        <v>10.897</v>
      </c>
      <c r="N26" s="19" t="s">
        <v>90</v>
      </c>
    </row>
    <row r="27" spans="1:14" x14ac:dyDescent="0.35">
      <c r="A27" s="2" t="s">
        <v>67</v>
      </c>
      <c r="B27" s="9">
        <v>1.72E-3</v>
      </c>
      <c r="C27" s="9">
        <v>1.66E-3</v>
      </c>
      <c r="D27" s="9">
        <f t="shared" si="0"/>
        <v>-5.9999999999999941E-5</v>
      </c>
      <c r="E27" s="14">
        <f t="shared" si="1"/>
        <v>-3.4883720930232509E-2</v>
      </c>
      <c r="F27" s="9">
        <f t="shared" si="2"/>
        <v>-4.2780974042207105E-2</v>
      </c>
      <c r="G27" s="28">
        <v>5.5229999999999997</v>
      </c>
      <c r="I27" s="19" t="s">
        <v>67</v>
      </c>
      <c r="J27" s="28">
        <v>207.71</v>
      </c>
      <c r="K27" s="28">
        <v>244.25399999999999</v>
      </c>
      <c r="L27" s="28">
        <v>226.71600000000001</v>
      </c>
      <c r="M27" s="28">
        <v>5.5229999999999997</v>
      </c>
      <c r="N27" s="19" t="s">
        <v>89</v>
      </c>
    </row>
    <row r="28" spans="1:14" x14ac:dyDescent="0.35">
      <c r="A28" s="3" t="s">
        <v>69</v>
      </c>
      <c r="B28" s="13">
        <v>0.98757474099999998</v>
      </c>
      <c r="C28" s="13">
        <v>1.003746099</v>
      </c>
      <c r="D28" s="13">
        <f t="shared" si="0"/>
        <v>1.6171358000000025E-2</v>
      </c>
      <c r="E28" s="17">
        <f t="shared" si="1"/>
        <v>1.6374819371772542E-2</v>
      </c>
      <c r="F28" s="10">
        <f t="shared" si="2"/>
        <v>3.9276692888562534</v>
      </c>
      <c r="G28" s="28">
        <v>30.885999999999999</v>
      </c>
      <c r="I28" s="19" t="s">
        <v>69</v>
      </c>
      <c r="J28" s="28">
        <v>-12.782999999999999</v>
      </c>
      <c r="K28" s="28">
        <v>172.089</v>
      </c>
      <c r="L28" s="28">
        <v>63.448</v>
      </c>
      <c r="M28" s="28">
        <v>30.885999999999999</v>
      </c>
      <c r="N28" s="19" t="s">
        <v>92</v>
      </c>
    </row>
    <row r="29" spans="1:14" x14ac:dyDescent="0.35">
      <c r="A29" s="5" t="s">
        <v>71</v>
      </c>
      <c r="B29" s="11">
        <v>0.72311000000000003</v>
      </c>
      <c r="C29" s="11">
        <v>1.0458799999999999</v>
      </c>
      <c r="D29" s="11">
        <f t="shared" si="0"/>
        <v>0.32276999999999989</v>
      </c>
      <c r="E29" s="15">
        <f t="shared" si="1"/>
        <v>0.44636362379167749</v>
      </c>
      <c r="F29" s="10">
        <f t="shared" si="2"/>
        <v>9.8933898137554444</v>
      </c>
      <c r="G29" s="28">
        <v>17.414000000000001</v>
      </c>
      <c r="I29" s="19" t="s">
        <v>71</v>
      </c>
      <c r="J29" s="28">
        <v>-64.671000000000006</v>
      </c>
      <c r="K29" s="28">
        <v>88.656000000000006</v>
      </c>
      <c r="L29" s="28">
        <v>14.885999999999999</v>
      </c>
      <c r="M29" s="28">
        <v>17.414000000000001</v>
      </c>
      <c r="N29" s="19" t="s">
        <v>90</v>
      </c>
    </row>
    <row r="30" spans="1:14" x14ac:dyDescent="0.35">
      <c r="A30" s="5" t="s">
        <v>73</v>
      </c>
      <c r="B30" s="11">
        <v>0.8639</v>
      </c>
      <c r="C30" s="11">
        <v>0.97047000000000005</v>
      </c>
      <c r="D30" s="11">
        <f t="shared" si="0"/>
        <v>0.10657000000000005</v>
      </c>
      <c r="E30" s="15">
        <f t="shared" si="1"/>
        <v>0.12335918509086707</v>
      </c>
      <c r="F30" s="10">
        <f t="shared" si="2"/>
        <v>5.8356310832951062</v>
      </c>
      <c r="G30" s="28">
        <v>17.876000000000001</v>
      </c>
      <c r="I30" s="19" t="s">
        <v>73</v>
      </c>
      <c r="J30" s="28">
        <v>-78.251000000000005</v>
      </c>
      <c r="K30" s="28">
        <v>68.406000000000006</v>
      </c>
      <c r="L30" s="28">
        <v>-2.867</v>
      </c>
      <c r="M30" s="28">
        <v>17.876000000000001</v>
      </c>
      <c r="N30" s="19" t="s">
        <v>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F827-4444-42A5-87A0-B305CEC2A4FC}">
  <dimension ref="A1:P60"/>
  <sheetViews>
    <sheetView zoomScale="57" zoomScaleNormal="55" workbookViewId="0">
      <selection activeCell="H1" sqref="A1:H1048576"/>
    </sheetView>
  </sheetViews>
  <sheetFormatPr baseColWidth="10" defaultRowHeight="14.5" x14ac:dyDescent="0.35"/>
  <cols>
    <col min="6" max="6" width="13.26953125" customWidth="1"/>
    <col min="15" max="15" width="36.7265625" customWidth="1"/>
  </cols>
  <sheetData>
    <row r="1" spans="1:16" x14ac:dyDescent="0.35">
      <c r="B1" t="s">
        <v>97</v>
      </c>
      <c r="C1" t="s">
        <v>98</v>
      </c>
      <c r="D1" s="1" t="s">
        <v>75</v>
      </c>
      <c r="E1" t="s">
        <v>76</v>
      </c>
      <c r="F1" t="s">
        <v>77</v>
      </c>
      <c r="H1" s="29" t="s">
        <v>99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s="6" t="s">
        <v>7</v>
      </c>
    </row>
    <row r="2" spans="1:16" x14ac:dyDescent="0.35">
      <c r="A2" s="2" t="s">
        <v>8</v>
      </c>
      <c r="B2" s="9">
        <v>3.1859999999999999E-2</v>
      </c>
      <c r="C2" s="9">
        <v>3.2930000000000001E-2</v>
      </c>
      <c r="D2" s="9">
        <f>C2-B2</f>
        <v>1.0700000000000015E-3</v>
      </c>
      <c r="E2" s="14">
        <f>C2/B2-1</f>
        <v>3.3584431889516653E-2</v>
      </c>
      <c r="F2" s="2">
        <f>SIGN(D2)*(ABS(D2))^(1/2)*M2</f>
        <v>0.23479851336837734</v>
      </c>
      <c r="H2" s="19">
        <v>7.1779999999999999</v>
      </c>
      <c r="I2" t="s">
        <v>9</v>
      </c>
      <c r="J2">
        <v>243.88399999999999</v>
      </c>
      <c r="K2">
        <v>313.68</v>
      </c>
      <c r="L2">
        <v>283.45299999999997</v>
      </c>
      <c r="M2">
        <v>7.1779999999999999</v>
      </c>
      <c r="N2" t="s">
        <v>10</v>
      </c>
      <c r="O2" s="7" t="s">
        <v>11</v>
      </c>
    </row>
    <row r="3" spans="1:16" x14ac:dyDescent="0.35">
      <c r="A3" s="2" t="s">
        <v>12</v>
      </c>
      <c r="B3" s="9">
        <v>3.3489999999999999E-2</v>
      </c>
      <c r="C3" s="9">
        <v>3.6720000000000003E-2</v>
      </c>
      <c r="D3" s="9">
        <f t="shared" ref="D3:D30" si="0">C3-B3</f>
        <v>3.2300000000000037E-3</v>
      </c>
      <c r="E3" s="14">
        <f t="shared" ref="E3:E30" si="1">C3/B3-1</f>
        <v>9.6446700507614391E-2</v>
      </c>
      <c r="F3" s="2">
        <f t="shared" ref="F3:F30" si="2">SIGN(D3)*(ABS(D3))^(1/2)*M3</f>
        <v>0.36458426563690344</v>
      </c>
      <c r="H3" s="19">
        <v>6.415</v>
      </c>
      <c r="I3" t="s">
        <v>13</v>
      </c>
      <c r="J3">
        <v>231.22800000000001</v>
      </c>
      <c r="K3">
        <v>300.12599999999998</v>
      </c>
      <c r="L3">
        <v>279.56099999999998</v>
      </c>
      <c r="M3">
        <v>6.415</v>
      </c>
      <c r="N3" t="s">
        <v>10</v>
      </c>
    </row>
    <row r="4" spans="1:16" x14ac:dyDescent="0.35">
      <c r="A4" s="5" t="s">
        <v>14</v>
      </c>
      <c r="B4" s="11">
        <v>0.58484999999999998</v>
      </c>
      <c r="C4" s="11">
        <v>0.63270000000000004</v>
      </c>
      <c r="D4" s="11">
        <f t="shared" si="0"/>
        <v>4.7850000000000059E-2</v>
      </c>
      <c r="E4" s="15">
        <f t="shared" si="1"/>
        <v>8.1815850218004638E-2</v>
      </c>
      <c r="F4" s="8">
        <f t="shared" si="2"/>
        <v>0.93054730701883226</v>
      </c>
      <c r="H4" s="19">
        <v>4.2539999999999996</v>
      </c>
      <c r="I4" t="s">
        <v>15</v>
      </c>
      <c r="J4">
        <v>-23.803000000000001</v>
      </c>
      <c r="K4">
        <v>24.904</v>
      </c>
      <c r="L4">
        <v>1.121</v>
      </c>
      <c r="M4">
        <v>4.2539999999999996</v>
      </c>
      <c r="N4" t="s">
        <v>16</v>
      </c>
      <c r="O4" s="2" t="s">
        <v>17</v>
      </c>
    </row>
    <row r="5" spans="1:16" x14ac:dyDescent="0.35">
      <c r="A5" s="5" t="s">
        <v>18</v>
      </c>
      <c r="B5" s="11">
        <v>0.92157999999999995</v>
      </c>
      <c r="C5" s="11">
        <v>0.91898999999999997</v>
      </c>
      <c r="D5" s="11">
        <f t="shared" si="0"/>
        <v>-2.5899999999999812E-3</v>
      </c>
      <c r="E5" s="15">
        <f t="shared" si="1"/>
        <v>-2.8103908504958364E-3</v>
      </c>
      <c r="F5" s="5">
        <f t="shared" si="2"/>
        <v>-0.18977642685539145</v>
      </c>
      <c r="H5" s="19">
        <v>3.7290000000000001</v>
      </c>
      <c r="I5" t="s">
        <v>19</v>
      </c>
      <c r="J5">
        <v>-21.876999999999999</v>
      </c>
      <c r="K5">
        <v>23.282</v>
      </c>
      <c r="L5">
        <v>0.53400000000000003</v>
      </c>
      <c r="M5">
        <v>3.7290000000000001</v>
      </c>
      <c r="N5" t="s">
        <v>16</v>
      </c>
      <c r="O5" s="5" t="s">
        <v>20</v>
      </c>
    </row>
    <row r="6" spans="1:16" x14ac:dyDescent="0.35">
      <c r="A6" s="4" t="s">
        <v>21</v>
      </c>
      <c r="B6" s="12">
        <v>7.1000000000000002E-4</v>
      </c>
      <c r="C6" s="12">
        <v>6.9999999999999999E-4</v>
      </c>
      <c r="D6" s="12">
        <f t="shared" si="0"/>
        <v>-1.0000000000000026E-5</v>
      </c>
      <c r="E6" s="16">
        <f t="shared" si="1"/>
        <v>-1.4084507042253502E-2</v>
      </c>
      <c r="F6" s="18">
        <f t="shared" si="2"/>
        <v>-3.6249093950180376</v>
      </c>
      <c r="H6" s="19">
        <v>1146.297</v>
      </c>
      <c r="I6" t="s">
        <v>22</v>
      </c>
      <c r="J6">
        <v>95517.687999999995</v>
      </c>
      <c r="K6">
        <v>104649.43799999999</v>
      </c>
      <c r="L6">
        <v>101385.317</v>
      </c>
      <c r="M6">
        <v>1146.297</v>
      </c>
      <c r="N6" t="s">
        <v>23</v>
      </c>
      <c r="O6" s="3" t="s">
        <v>24</v>
      </c>
    </row>
    <row r="7" spans="1:16" x14ac:dyDescent="0.35">
      <c r="A7" s="2" t="s">
        <v>25</v>
      </c>
      <c r="B7" s="9">
        <v>2.0709999999999999E-2</v>
      </c>
      <c r="C7" s="9">
        <v>2.4799999999999999E-2</v>
      </c>
      <c r="D7" s="9">
        <f t="shared" si="0"/>
        <v>4.0899999999999999E-3</v>
      </c>
      <c r="E7" s="14">
        <f t="shared" si="1"/>
        <v>0.19748913568324489</v>
      </c>
      <c r="F7" s="2">
        <f t="shared" si="2"/>
        <v>0.45483450282492865</v>
      </c>
      <c r="H7" s="19">
        <v>7.1120000000000001</v>
      </c>
      <c r="I7" t="s">
        <v>26</v>
      </c>
      <c r="J7">
        <v>255.04499999999999</v>
      </c>
      <c r="K7">
        <v>314.548</v>
      </c>
      <c r="L7">
        <v>284.73200000000003</v>
      </c>
      <c r="M7">
        <v>7.1120000000000001</v>
      </c>
      <c r="N7" t="s">
        <v>10</v>
      </c>
      <c r="O7" s="4" t="s">
        <v>27</v>
      </c>
    </row>
    <row r="8" spans="1:16" x14ac:dyDescent="0.35">
      <c r="A8" s="3" t="s">
        <v>28</v>
      </c>
      <c r="B8" s="13">
        <v>0.56689999999999996</v>
      </c>
      <c r="C8" s="13">
        <v>0.62333000000000005</v>
      </c>
      <c r="D8" s="13">
        <f t="shared" si="0"/>
        <v>5.6430000000000091E-2</v>
      </c>
      <c r="E8" s="17">
        <f t="shared" si="1"/>
        <v>9.9541365320162445E-2</v>
      </c>
      <c r="F8" s="8">
        <f t="shared" si="2"/>
        <v>3.8046007157230077</v>
      </c>
      <c r="H8" s="19">
        <v>16.015999999999998</v>
      </c>
      <c r="I8" t="s">
        <v>29</v>
      </c>
      <c r="J8">
        <v>5.9989999999999997</v>
      </c>
      <c r="K8">
        <v>203.81299999999999</v>
      </c>
      <c r="L8">
        <v>76.313999999999993</v>
      </c>
      <c r="M8">
        <v>16.015999999999998</v>
      </c>
      <c r="N8" t="s">
        <v>30</v>
      </c>
    </row>
    <row r="9" spans="1:16" x14ac:dyDescent="0.35">
      <c r="A9" s="5" t="s">
        <v>31</v>
      </c>
      <c r="B9" s="11">
        <v>0.60238999999999998</v>
      </c>
      <c r="C9" s="11">
        <v>0.64571000000000001</v>
      </c>
      <c r="D9" s="11">
        <f t="shared" si="0"/>
        <v>4.3320000000000025E-2</v>
      </c>
      <c r="E9" s="15">
        <f t="shared" si="1"/>
        <v>7.1913544381546846E-2</v>
      </c>
      <c r="F9" s="8">
        <f t="shared" si="2"/>
        <v>1.0352613603916649</v>
      </c>
      <c r="H9" s="19">
        <v>4.9740000000000002</v>
      </c>
      <c r="I9" t="s">
        <v>32</v>
      </c>
      <c r="J9">
        <v>-25.132000000000001</v>
      </c>
      <c r="K9">
        <v>26.074999999999999</v>
      </c>
      <c r="L9">
        <v>1.2190000000000001</v>
      </c>
      <c r="M9">
        <v>4.9740000000000002</v>
      </c>
      <c r="N9" t="s">
        <v>16</v>
      </c>
    </row>
    <row r="10" spans="1:16" x14ac:dyDescent="0.35">
      <c r="A10" s="5" t="s">
        <v>33</v>
      </c>
      <c r="B10" s="11">
        <v>0.89646000000000003</v>
      </c>
      <c r="C10" s="11">
        <v>0.90469999999999995</v>
      </c>
      <c r="D10" s="11">
        <f t="shared" si="0"/>
        <v>8.2399999999999141E-3</v>
      </c>
      <c r="E10" s="15">
        <f t="shared" si="1"/>
        <v>9.1917096133680154E-3</v>
      </c>
      <c r="F10" s="8">
        <f t="shared" si="2"/>
        <v>0.38996701891313634</v>
      </c>
      <c r="H10" s="19">
        <v>4.2960000000000003</v>
      </c>
      <c r="I10" t="s">
        <v>34</v>
      </c>
      <c r="J10">
        <v>-22.663</v>
      </c>
      <c r="K10">
        <v>24.797999999999998</v>
      </c>
      <c r="L10">
        <v>0.53800000000000003</v>
      </c>
      <c r="M10">
        <v>4.2960000000000003</v>
      </c>
      <c r="N10" t="s">
        <v>16</v>
      </c>
    </row>
    <row r="11" spans="1:16" x14ac:dyDescent="0.35">
      <c r="A11" s="2" t="s">
        <v>35</v>
      </c>
      <c r="B11" s="9">
        <v>3.5270000000000003E-2</v>
      </c>
      <c r="C11" s="9">
        <v>4.2959999999999998E-2</v>
      </c>
      <c r="D11" s="9">
        <f t="shared" si="0"/>
        <v>7.6899999999999955E-3</v>
      </c>
      <c r="E11" s="14">
        <f t="shared" si="1"/>
        <v>0.21803232208675905</v>
      </c>
      <c r="F11" s="10">
        <f t="shared" si="2"/>
        <v>0.61954853744480731</v>
      </c>
      <c r="H11" s="19">
        <v>7.0650000000000004</v>
      </c>
      <c r="I11" t="s">
        <v>36</v>
      </c>
      <c r="J11">
        <v>257.755</v>
      </c>
      <c r="K11">
        <v>308.94099999999997</v>
      </c>
      <c r="L11">
        <v>280.85199999999998</v>
      </c>
      <c r="M11">
        <v>7.0650000000000004</v>
      </c>
      <c r="N11" t="s">
        <v>10</v>
      </c>
    </row>
    <row r="12" spans="1:16" x14ac:dyDescent="0.35">
      <c r="A12" s="3" t="s">
        <v>37</v>
      </c>
      <c r="B12" s="13">
        <v>0.64670000000000005</v>
      </c>
      <c r="C12" s="13">
        <v>0.66923999999999995</v>
      </c>
      <c r="D12" s="13">
        <f t="shared" si="0"/>
        <v>2.2539999999999893E-2</v>
      </c>
      <c r="E12" s="17">
        <f t="shared" si="1"/>
        <v>3.4853873511674571E-2</v>
      </c>
      <c r="F12" s="8">
        <f t="shared" si="2"/>
        <v>2.9609284323265839</v>
      </c>
      <c r="H12" s="19">
        <v>19.722000000000001</v>
      </c>
      <c r="I12" t="s">
        <v>38</v>
      </c>
      <c r="J12">
        <v>-8.3000000000000007</v>
      </c>
      <c r="K12">
        <v>199.815</v>
      </c>
      <c r="L12">
        <v>75.144000000000005</v>
      </c>
      <c r="M12">
        <v>19.722000000000001</v>
      </c>
      <c r="N12" t="s">
        <v>30</v>
      </c>
    </row>
    <row r="13" spans="1:16" x14ac:dyDescent="0.35">
      <c r="A13" s="5" t="s">
        <v>39</v>
      </c>
      <c r="B13" s="11">
        <v>0.55811999999999995</v>
      </c>
      <c r="C13" s="11">
        <v>0.61443000000000003</v>
      </c>
      <c r="D13" s="11">
        <f t="shared" si="0"/>
        <v>5.6310000000000082E-2</v>
      </c>
      <c r="E13" s="15">
        <f t="shared" si="1"/>
        <v>0.10089228122984317</v>
      </c>
      <c r="F13" s="10">
        <f t="shared" si="2"/>
        <v>1.8516306907129199</v>
      </c>
      <c r="H13" s="19">
        <v>7.8029999999999999</v>
      </c>
      <c r="I13" t="s">
        <v>40</v>
      </c>
      <c r="J13">
        <v>-40.853000000000002</v>
      </c>
      <c r="K13">
        <v>44.146000000000001</v>
      </c>
      <c r="L13">
        <v>3.0819999999999999</v>
      </c>
      <c r="M13">
        <v>7.8029999999999999</v>
      </c>
      <c r="N13" t="s">
        <v>16</v>
      </c>
      <c r="P13" t="s">
        <v>79</v>
      </c>
    </row>
    <row r="14" spans="1:16" x14ac:dyDescent="0.35">
      <c r="A14" s="5" t="s">
        <v>41</v>
      </c>
      <c r="B14" s="11">
        <v>0.95809</v>
      </c>
      <c r="C14" s="11">
        <v>0.98536000000000001</v>
      </c>
      <c r="D14" s="11">
        <f t="shared" si="0"/>
        <v>2.7270000000000016E-2</v>
      </c>
      <c r="E14" s="15">
        <f t="shared" si="1"/>
        <v>2.8462879270214625E-2</v>
      </c>
      <c r="F14" s="8">
        <f t="shared" si="2"/>
        <v>1.0278083768485256</v>
      </c>
      <c r="H14" s="19">
        <v>6.2240000000000002</v>
      </c>
      <c r="I14" t="s">
        <v>42</v>
      </c>
      <c r="J14">
        <v>-34.988</v>
      </c>
      <c r="K14">
        <v>34.201000000000001</v>
      </c>
      <c r="L14">
        <v>0.83799999999999997</v>
      </c>
      <c r="M14">
        <v>6.2240000000000002</v>
      </c>
      <c r="N14" t="s">
        <v>16</v>
      </c>
      <c r="P14" t="s">
        <v>80</v>
      </c>
    </row>
    <row r="15" spans="1:16" x14ac:dyDescent="0.35">
      <c r="A15" s="2" t="s">
        <v>43</v>
      </c>
      <c r="B15" s="9">
        <v>5.5169999999999997E-2</v>
      </c>
      <c r="C15" s="9">
        <v>6.7849999999999994E-2</v>
      </c>
      <c r="D15" s="9">
        <f t="shared" si="0"/>
        <v>1.2679999999999997E-2</v>
      </c>
      <c r="E15" s="14">
        <f t="shared" si="1"/>
        <v>0.22983505528366854</v>
      </c>
      <c r="F15" s="8">
        <f t="shared" si="2"/>
        <v>0.76188885415131247</v>
      </c>
      <c r="H15" s="19">
        <v>6.766</v>
      </c>
      <c r="I15" t="s">
        <v>44</v>
      </c>
      <c r="J15">
        <v>253.68299999999999</v>
      </c>
      <c r="K15">
        <v>301.58600000000001</v>
      </c>
      <c r="L15">
        <v>277.02199999999999</v>
      </c>
      <c r="M15">
        <v>6.766</v>
      </c>
      <c r="N15" t="s">
        <v>10</v>
      </c>
      <c r="P15" t="s">
        <v>81</v>
      </c>
    </row>
    <row r="16" spans="1:16" x14ac:dyDescent="0.35">
      <c r="A16" s="3" t="s">
        <v>45</v>
      </c>
      <c r="B16" s="13">
        <v>0.88412999999999997</v>
      </c>
      <c r="C16" s="13">
        <v>0.93423</v>
      </c>
      <c r="D16" s="13">
        <f t="shared" si="0"/>
        <v>5.0100000000000033E-2</v>
      </c>
      <c r="E16" s="17">
        <f t="shared" si="1"/>
        <v>5.666587492789521E-2</v>
      </c>
      <c r="F16" s="8">
        <f t="shared" si="2"/>
        <v>5.4166930871150543</v>
      </c>
      <c r="H16" s="19">
        <v>24.2</v>
      </c>
      <c r="I16" t="s">
        <v>46</v>
      </c>
      <c r="J16">
        <v>-5.9909999999999997</v>
      </c>
      <c r="K16">
        <v>206.18100000000001</v>
      </c>
      <c r="L16">
        <v>69.373999999999995</v>
      </c>
      <c r="M16">
        <v>24.2</v>
      </c>
      <c r="N16" t="s">
        <v>30</v>
      </c>
    </row>
    <row r="17" spans="1:14" x14ac:dyDescent="0.35">
      <c r="A17" s="5" t="s">
        <v>47</v>
      </c>
      <c r="B17" s="11">
        <v>0.49880999999999998</v>
      </c>
      <c r="C17" s="11">
        <v>0.56157999999999997</v>
      </c>
      <c r="D17" s="11">
        <f t="shared" si="0"/>
        <v>6.2769999999999992E-2</v>
      </c>
      <c r="E17" s="15">
        <f t="shared" si="1"/>
        <v>0.1258394980052524</v>
      </c>
      <c r="F17" s="10">
        <f t="shared" si="2"/>
        <v>2.0644448047840851</v>
      </c>
      <c r="H17" s="19">
        <v>8.24</v>
      </c>
      <c r="I17" t="s">
        <v>48</v>
      </c>
      <c r="J17">
        <v>-39.677</v>
      </c>
      <c r="K17">
        <v>44.381</v>
      </c>
      <c r="L17">
        <v>4.4189999999999996</v>
      </c>
      <c r="M17">
        <v>8.24</v>
      </c>
      <c r="N17" t="s">
        <v>16</v>
      </c>
    </row>
    <row r="18" spans="1:14" x14ac:dyDescent="0.35">
      <c r="A18" s="5" t="s">
        <v>49</v>
      </c>
      <c r="B18" s="11">
        <v>0.92476000000000003</v>
      </c>
      <c r="C18" s="11">
        <v>0.94950000000000001</v>
      </c>
      <c r="D18" s="11">
        <f t="shared" si="0"/>
        <v>2.4739999999999984E-2</v>
      </c>
      <c r="E18" s="15">
        <f t="shared" si="1"/>
        <v>2.6752887235607092E-2</v>
      </c>
      <c r="F18" s="8">
        <f t="shared" si="2"/>
        <v>0.99863130170248493</v>
      </c>
      <c r="H18" s="19">
        <v>6.3490000000000002</v>
      </c>
      <c r="I18" t="s">
        <v>50</v>
      </c>
      <c r="J18">
        <v>-39.555</v>
      </c>
      <c r="K18">
        <v>37.898000000000003</v>
      </c>
      <c r="L18">
        <v>0.42199999999999999</v>
      </c>
      <c r="M18">
        <v>6.3490000000000002</v>
      </c>
      <c r="N18" t="s">
        <v>16</v>
      </c>
    </row>
    <row r="19" spans="1:14" x14ac:dyDescent="0.35">
      <c r="A19" s="2" t="s">
        <v>51</v>
      </c>
      <c r="B19" s="9">
        <v>0.15662999999999999</v>
      </c>
      <c r="C19" s="9">
        <v>0.20694000000000001</v>
      </c>
      <c r="D19" s="9">
        <f t="shared" si="0"/>
        <v>5.0310000000000021E-2</v>
      </c>
      <c r="E19" s="14">
        <f t="shared" si="1"/>
        <v>0.3212028347059952</v>
      </c>
      <c r="F19" s="8">
        <f t="shared" si="2"/>
        <v>1.4294569388372638</v>
      </c>
      <c r="H19" s="19">
        <v>6.3730000000000002</v>
      </c>
      <c r="I19" t="s">
        <v>52</v>
      </c>
      <c r="J19">
        <v>246.93299999999999</v>
      </c>
      <c r="K19">
        <v>288.209</v>
      </c>
      <c r="L19">
        <v>268.82900000000001</v>
      </c>
      <c r="M19">
        <v>6.3730000000000002</v>
      </c>
      <c r="N19" t="s">
        <v>10</v>
      </c>
    </row>
    <row r="20" spans="1:14" x14ac:dyDescent="0.35">
      <c r="A20" s="3" t="s">
        <v>53</v>
      </c>
      <c r="B20" s="13">
        <v>0.95635000000000003</v>
      </c>
      <c r="C20" s="13">
        <v>1.0000199999999999</v>
      </c>
      <c r="D20" s="13">
        <f t="shared" si="0"/>
        <v>4.3669999999999876E-2</v>
      </c>
      <c r="E20" s="17">
        <f t="shared" si="1"/>
        <v>4.5663198619751988E-2</v>
      </c>
      <c r="F20" s="8">
        <f t="shared" si="2"/>
        <v>6.1214660830416996</v>
      </c>
      <c r="H20" s="19">
        <v>29.292999999999999</v>
      </c>
      <c r="I20" t="s">
        <v>54</v>
      </c>
      <c r="J20">
        <v>-7.79</v>
      </c>
      <c r="K20">
        <v>134.40100000000001</v>
      </c>
      <c r="L20">
        <v>54.890999999999998</v>
      </c>
      <c r="M20">
        <v>29.292999999999999</v>
      </c>
      <c r="N20" t="s">
        <v>30</v>
      </c>
    </row>
    <row r="21" spans="1:14" x14ac:dyDescent="0.35">
      <c r="A21" s="5" t="s">
        <v>55</v>
      </c>
      <c r="B21" s="11">
        <v>0.50856999999999997</v>
      </c>
      <c r="C21" s="11">
        <v>0.52386999999999995</v>
      </c>
      <c r="D21" s="11">
        <f t="shared" si="0"/>
        <v>1.529999999999998E-2</v>
      </c>
      <c r="E21" s="15">
        <f t="shared" si="1"/>
        <v>3.0084354169534144E-2</v>
      </c>
      <c r="F21" s="8">
        <f t="shared" si="2"/>
        <v>1.09369499825134</v>
      </c>
      <c r="H21" s="19">
        <v>8.8420000000000005</v>
      </c>
      <c r="I21" t="s">
        <v>56</v>
      </c>
      <c r="J21">
        <v>-34.505000000000003</v>
      </c>
      <c r="K21">
        <v>47.768000000000001</v>
      </c>
      <c r="L21">
        <v>6.6689999999999996</v>
      </c>
      <c r="M21">
        <v>8.8420000000000005</v>
      </c>
      <c r="N21" t="s">
        <v>16</v>
      </c>
    </row>
    <row r="22" spans="1:14" x14ac:dyDescent="0.35">
      <c r="A22" s="5" t="s">
        <v>57</v>
      </c>
      <c r="B22" s="11">
        <v>0.82233999999999996</v>
      </c>
      <c r="C22" s="11">
        <v>0.81538999999999995</v>
      </c>
      <c r="D22" s="11">
        <f t="shared" si="0"/>
        <v>-6.9500000000000117E-3</v>
      </c>
      <c r="E22" s="15">
        <f t="shared" si="1"/>
        <v>-8.4514920835664364E-3</v>
      </c>
      <c r="F22" s="18">
        <f t="shared" si="2"/>
        <v>-0.62208201693988918</v>
      </c>
      <c r="H22" s="19">
        <v>7.4619999999999997</v>
      </c>
      <c r="I22" t="s">
        <v>58</v>
      </c>
      <c r="J22">
        <v>-34.704000000000001</v>
      </c>
      <c r="K22">
        <v>42.732999999999997</v>
      </c>
      <c r="L22">
        <v>-0.26800000000000002</v>
      </c>
      <c r="M22">
        <v>7.4619999999999997</v>
      </c>
      <c r="N22" t="s">
        <v>16</v>
      </c>
    </row>
    <row r="23" spans="1:14" x14ac:dyDescent="0.35">
      <c r="A23" s="2" t="s">
        <v>59</v>
      </c>
      <c r="B23" s="9">
        <v>0.28277999999999998</v>
      </c>
      <c r="C23" s="9">
        <v>0.35008</v>
      </c>
      <c r="D23" s="9">
        <f t="shared" si="0"/>
        <v>6.7300000000000026E-2</v>
      </c>
      <c r="E23" s="14">
        <f t="shared" si="1"/>
        <v>0.23799420043850361</v>
      </c>
      <c r="F23" s="8">
        <f t="shared" si="2"/>
        <v>1.7129663410878804</v>
      </c>
      <c r="H23" s="19">
        <v>6.6029999999999998</v>
      </c>
      <c r="I23" t="s">
        <v>60</v>
      </c>
      <c r="J23">
        <v>228.42099999999999</v>
      </c>
      <c r="K23">
        <v>269.642</v>
      </c>
      <c r="L23">
        <v>252.79900000000001</v>
      </c>
      <c r="M23">
        <v>6.6029999999999998</v>
      </c>
      <c r="N23" t="s">
        <v>10</v>
      </c>
    </row>
    <row r="24" spans="1:14" x14ac:dyDescent="0.35">
      <c r="A24" s="3" t="s">
        <v>61</v>
      </c>
      <c r="B24" s="13">
        <v>1.02234</v>
      </c>
      <c r="C24" s="13">
        <v>1.00227</v>
      </c>
      <c r="D24" s="13">
        <f t="shared" si="0"/>
        <v>-2.0070000000000032E-2</v>
      </c>
      <c r="E24" s="17">
        <f t="shared" si="1"/>
        <v>-1.9631433769587425E-2</v>
      </c>
      <c r="F24" s="18">
        <f t="shared" si="2"/>
        <v>-4.3370433603689085</v>
      </c>
      <c r="H24" s="19">
        <v>30.614000000000001</v>
      </c>
      <c r="I24" t="s">
        <v>62</v>
      </c>
      <c r="J24">
        <v>-10.193</v>
      </c>
      <c r="K24">
        <v>143.553</v>
      </c>
      <c r="L24">
        <v>53.350999999999999</v>
      </c>
      <c r="M24">
        <v>30.614000000000001</v>
      </c>
      <c r="N24" t="s">
        <v>30</v>
      </c>
    </row>
    <row r="25" spans="1:14" x14ac:dyDescent="0.35">
      <c r="A25" s="5" t="s">
        <v>63</v>
      </c>
      <c r="B25" s="11">
        <v>0.54557999999999995</v>
      </c>
      <c r="C25" s="11">
        <v>0.57418000000000002</v>
      </c>
      <c r="D25" s="11">
        <f t="shared" si="0"/>
        <v>2.860000000000007E-2</v>
      </c>
      <c r="E25" s="15">
        <f t="shared" si="1"/>
        <v>5.2421276439752251E-2</v>
      </c>
      <c r="F25" s="8">
        <f t="shared" si="2"/>
        <v>1.9695173108150152</v>
      </c>
      <c r="H25" s="19">
        <v>11.646000000000001</v>
      </c>
      <c r="I25" t="s">
        <v>64</v>
      </c>
      <c r="J25">
        <v>-44.463999999999999</v>
      </c>
      <c r="K25">
        <v>65.424999999999997</v>
      </c>
      <c r="L25">
        <v>10.005000000000001</v>
      </c>
      <c r="M25">
        <v>11.646000000000001</v>
      </c>
      <c r="N25" t="s">
        <v>16</v>
      </c>
    </row>
    <row r="26" spans="1:14" x14ac:dyDescent="0.35">
      <c r="A26" s="5" t="s">
        <v>65</v>
      </c>
      <c r="B26" s="11">
        <v>0.86199000000000003</v>
      </c>
      <c r="C26" s="11">
        <v>0.85875999999999997</v>
      </c>
      <c r="D26" s="11">
        <f t="shared" si="0"/>
        <v>-3.2300000000000662E-3</v>
      </c>
      <c r="E26" s="15">
        <f t="shared" si="1"/>
        <v>-3.7471432383207048E-3</v>
      </c>
      <c r="F26" s="18">
        <f t="shared" si="2"/>
        <v>-0.61931017032663682</v>
      </c>
      <c r="H26" s="19">
        <v>10.897</v>
      </c>
      <c r="I26" t="s">
        <v>66</v>
      </c>
      <c r="J26">
        <v>-54.683999999999997</v>
      </c>
      <c r="K26">
        <v>46.356999999999999</v>
      </c>
      <c r="L26">
        <v>-1.3149999999999999</v>
      </c>
      <c r="M26">
        <v>10.897</v>
      </c>
      <c r="N26" t="s">
        <v>16</v>
      </c>
    </row>
    <row r="27" spans="1:14" x14ac:dyDescent="0.35">
      <c r="A27" s="2" t="s">
        <v>67</v>
      </c>
      <c r="B27" s="9">
        <v>2.0600000000000002E-3</v>
      </c>
      <c r="C27" s="9">
        <v>1.67E-3</v>
      </c>
      <c r="D27" s="9">
        <f t="shared" si="0"/>
        <v>-3.9000000000000016E-4</v>
      </c>
      <c r="E27" s="14">
        <f t="shared" si="1"/>
        <v>-0.18932038834951459</v>
      </c>
      <c r="F27" s="2">
        <f t="shared" si="2"/>
        <v>-0.10907051072586027</v>
      </c>
      <c r="H27" s="19">
        <v>5.5229999999999997</v>
      </c>
      <c r="I27" t="s">
        <v>68</v>
      </c>
      <c r="J27">
        <v>207.71</v>
      </c>
      <c r="K27">
        <v>244.25399999999999</v>
      </c>
      <c r="L27">
        <v>226.71600000000001</v>
      </c>
      <c r="M27">
        <v>5.5229999999999997</v>
      </c>
      <c r="N27" t="s">
        <v>10</v>
      </c>
    </row>
    <row r="28" spans="1:14" x14ac:dyDescent="0.35">
      <c r="A28" s="3" t="s">
        <v>69</v>
      </c>
      <c r="B28" s="13">
        <v>0.99380999999999997</v>
      </c>
      <c r="C28" s="13">
        <v>1.0245500000000001</v>
      </c>
      <c r="D28" s="13">
        <f t="shared" si="0"/>
        <v>3.0740000000000101E-2</v>
      </c>
      <c r="E28" s="17">
        <f t="shared" si="1"/>
        <v>3.093146577313588E-2</v>
      </c>
      <c r="F28" s="18">
        <f t="shared" si="2"/>
        <v>5.4151887480530254</v>
      </c>
      <c r="H28" s="19">
        <v>30.885999999999999</v>
      </c>
      <c r="I28" t="s">
        <v>70</v>
      </c>
      <c r="J28">
        <v>-12.782999999999999</v>
      </c>
      <c r="K28">
        <v>172.089</v>
      </c>
      <c r="L28">
        <v>63.448</v>
      </c>
      <c r="M28">
        <v>30.885999999999999</v>
      </c>
      <c r="N28" t="s">
        <v>30</v>
      </c>
    </row>
    <row r="29" spans="1:14" x14ac:dyDescent="0.35">
      <c r="A29" s="5" t="s">
        <v>71</v>
      </c>
      <c r="B29" s="11">
        <v>0.60716999999999999</v>
      </c>
      <c r="C29" s="11">
        <v>0.65866000000000002</v>
      </c>
      <c r="D29" s="11">
        <f t="shared" si="0"/>
        <v>5.1490000000000036E-2</v>
      </c>
      <c r="E29" s="15">
        <f t="shared" si="1"/>
        <v>8.4803267618624112E-2</v>
      </c>
      <c r="F29" s="18">
        <f t="shared" si="2"/>
        <v>3.9514818005452095</v>
      </c>
      <c r="H29" s="19">
        <v>17.414000000000001</v>
      </c>
      <c r="I29" t="s">
        <v>72</v>
      </c>
      <c r="J29">
        <v>-64.671000000000006</v>
      </c>
      <c r="K29">
        <v>88.656000000000006</v>
      </c>
      <c r="L29">
        <v>14.885999999999999</v>
      </c>
      <c r="M29">
        <v>17.414000000000001</v>
      </c>
      <c r="N29" t="s">
        <v>16</v>
      </c>
    </row>
    <row r="30" spans="1:14" x14ac:dyDescent="0.35">
      <c r="A30" s="5" t="s">
        <v>73</v>
      </c>
      <c r="B30" s="11">
        <v>0.90837999999999997</v>
      </c>
      <c r="C30" s="11">
        <v>0.95447000000000004</v>
      </c>
      <c r="D30" s="11">
        <f t="shared" si="0"/>
        <v>4.6090000000000075E-2</v>
      </c>
      <c r="E30" s="15">
        <f t="shared" si="1"/>
        <v>5.0738677645919106E-2</v>
      </c>
      <c r="F30" s="18">
        <f t="shared" si="2"/>
        <v>3.8377236638194816</v>
      </c>
      <c r="H30" s="19">
        <v>17.876000000000001</v>
      </c>
      <c r="I30" t="s">
        <v>74</v>
      </c>
      <c r="J30">
        <v>-78.251000000000005</v>
      </c>
      <c r="K30">
        <v>68.406000000000006</v>
      </c>
      <c r="L30">
        <v>-2.867</v>
      </c>
      <c r="M30">
        <v>17.876000000000001</v>
      </c>
      <c r="N30" t="s">
        <v>16</v>
      </c>
    </row>
    <row r="32" spans="1:14" x14ac:dyDescent="0.35">
      <c r="H32">
        <v>7.1779999999999999</v>
      </c>
      <c r="L32" s="2" t="s">
        <v>8</v>
      </c>
      <c r="M32">
        <v>7.1779999999999999</v>
      </c>
    </row>
    <row r="33" spans="8:13" x14ac:dyDescent="0.35">
      <c r="H33">
        <v>6.415</v>
      </c>
      <c r="L33" s="2" t="s">
        <v>12</v>
      </c>
      <c r="M33">
        <v>6.415</v>
      </c>
    </row>
    <row r="34" spans="8:13" x14ac:dyDescent="0.35">
      <c r="H34">
        <v>4.2539999999999996</v>
      </c>
      <c r="L34" s="5" t="s">
        <v>14</v>
      </c>
      <c r="M34">
        <v>4.2539999999999996</v>
      </c>
    </row>
    <row r="35" spans="8:13" x14ac:dyDescent="0.35">
      <c r="H35">
        <v>3.7290000000000001</v>
      </c>
      <c r="L35" s="5" t="s">
        <v>18</v>
      </c>
      <c r="M35">
        <v>3.7290000000000001</v>
      </c>
    </row>
    <row r="36" spans="8:13" x14ac:dyDescent="0.35">
      <c r="H36">
        <v>1146.297</v>
      </c>
      <c r="L36" s="4" t="s">
        <v>21</v>
      </c>
      <c r="M36">
        <v>1146.297</v>
      </c>
    </row>
    <row r="37" spans="8:13" x14ac:dyDescent="0.35">
      <c r="H37">
        <v>7.1120000000000001</v>
      </c>
      <c r="L37" s="2" t="s">
        <v>25</v>
      </c>
      <c r="M37">
        <v>7.1120000000000001</v>
      </c>
    </row>
    <row r="38" spans="8:13" x14ac:dyDescent="0.35">
      <c r="H38">
        <v>16.015999999999998</v>
      </c>
      <c r="L38" s="3" t="s">
        <v>28</v>
      </c>
      <c r="M38">
        <v>16.015999999999998</v>
      </c>
    </row>
    <row r="39" spans="8:13" x14ac:dyDescent="0.35">
      <c r="H39">
        <v>4.9740000000000002</v>
      </c>
      <c r="L39" s="5" t="s">
        <v>31</v>
      </c>
      <c r="M39">
        <v>4.9740000000000002</v>
      </c>
    </row>
    <row r="40" spans="8:13" x14ac:dyDescent="0.35">
      <c r="H40">
        <v>4.2960000000000003</v>
      </c>
      <c r="L40" s="5" t="s">
        <v>33</v>
      </c>
      <c r="M40">
        <v>4.2960000000000003</v>
      </c>
    </row>
    <row r="41" spans="8:13" x14ac:dyDescent="0.35">
      <c r="H41">
        <v>7.0650000000000004</v>
      </c>
      <c r="L41" s="2" t="s">
        <v>35</v>
      </c>
      <c r="M41">
        <v>7.0650000000000004</v>
      </c>
    </row>
    <row r="42" spans="8:13" x14ac:dyDescent="0.35">
      <c r="H42">
        <v>19.722000000000001</v>
      </c>
      <c r="L42" s="3" t="s">
        <v>37</v>
      </c>
      <c r="M42">
        <v>19.722000000000001</v>
      </c>
    </row>
    <row r="43" spans="8:13" x14ac:dyDescent="0.35">
      <c r="H43">
        <v>7.8029999999999999</v>
      </c>
      <c r="L43" s="5" t="s">
        <v>39</v>
      </c>
      <c r="M43">
        <v>7.8029999999999999</v>
      </c>
    </row>
    <row r="44" spans="8:13" x14ac:dyDescent="0.35">
      <c r="H44">
        <v>6.2240000000000002</v>
      </c>
      <c r="L44" s="5" t="s">
        <v>41</v>
      </c>
      <c r="M44">
        <v>6.2240000000000002</v>
      </c>
    </row>
    <row r="45" spans="8:13" x14ac:dyDescent="0.35">
      <c r="H45">
        <v>6.766</v>
      </c>
      <c r="L45" s="2" t="s">
        <v>43</v>
      </c>
      <c r="M45">
        <v>6.766</v>
      </c>
    </row>
    <row r="46" spans="8:13" x14ac:dyDescent="0.35">
      <c r="H46">
        <v>24.2</v>
      </c>
      <c r="L46" s="3" t="s">
        <v>45</v>
      </c>
      <c r="M46">
        <v>24.2</v>
      </c>
    </row>
    <row r="47" spans="8:13" x14ac:dyDescent="0.35">
      <c r="H47">
        <v>8.24</v>
      </c>
      <c r="L47" s="5" t="s">
        <v>47</v>
      </c>
      <c r="M47">
        <v>8.24</v>
      </c>
    </row>
    <row r="48" spans="8:13" x14ac:dyDescent="0.35">
      <c r="H48">
        <v>6.3490000000000002</v>
      </c>
      <c r="L48" s="5" t="s">
        <v>49</v>
      </c>
      <c r="M48">
        <v>6.3490000000000002</v>
      </c>
    </row>
    <row r="49" spans="8:13" x14ac:dyDescent="0.35">
      <c r="H49">
        <v>6.3730000000000002</v>
      </c>
      <c r="L49" s="2" t="s">
        <v>51</v>
      </c>
      <c r="M49">
        <v>6.3730000000000002</v>
      </c>
    </row>
    <row r="50" spans="8:13" x14ac:dyDescent="0.35">
      <c r="H50">
        <v>29.292999999999999</v>
      </c>
      <c r="L50" s="3" t="s">
        <v>53</v>
      </c>
      <c r="M50">
        <v>29.292999999999999</v>
      </c>
    </row>
    <row r="51" spans="8:13" x14ac:dyDescent="0.35">
      <c r="H51">
        <v>8.8420000000000005</v>
      </c>
      <c r="L51" s="5" t="s">
        <v>55</v>
      </c>
      <c r="M51">
        <v>8.8420000000000005</v>
      </c>
    </row>
    <row r="52" spans="8:13" x14ac:dyDescent="0.35">
      <c r="H52">
        <v>7.4619999999999997</v>
      </c>
      <c r="L52" s="5" t="s">
        <v>57</v>
      </c>
      <c r="M52">
        <v>7.4619999999999997</v>
      </c>
    </row>
    <row r="53" spans="8:13" x14ac:dyDescent="0.35">
      <c r="H53">
        <v>6.6029999999999998</v>
      </c>
      <c r="L53" s="2" t="s">
        <v>59</v>
      </c>
      <c r="M53">
        <v>6.6029999999999998</v>
      </c>
    </row>
    <row r="54" spans="8:13" x14ac:dyDescent="0.35">
      <c r="H54">
        <v>30.614000000000001</v>
      </c>
      <c r="L54" s="3" t="s">
        <v>61</v>
      </c>
      <c r="M54">
        <v>30.614000000000001</v>
      </c>
    </row>
    <row r="55" spans="8:13" x14ac:dyDescent="0.35">
      <c r="H55">
        <v>11.646000000000001</v>
      </c>
      <c r="L55" s="5" t="s">
        <v>63</v>
      </c>
      <c r="M55">
        <v>11.646000000000001</v>
      </c>
    </row>
    <row r="56" spans="8:13" x14ac:dyDescent="0.35">
      <c r="H56">
        <v>10.897</v>
      </c>
      <c r="L56" s="5" t="s">
        <v>65</v>
      </c>
      <c r="M56">
        <v>10.897</v>
      </c>
    </row>
    <row r="57" spans="8:13" x14ac:dyDescent="0.35">
      <c r="H57">
        <v>5.5229999999999997</v>
      </c>
      <c r="L57" s="2" t="s">
        <v>67</v>
      </c>
      <c r="M57">
        <v>5.5229999999999997</v>
      </c>
    </row>
    <row r="58" spans="8:13" x14ac:dyDescent="0.35">
      <c r="H58">
        <v>30.885999999999999</v>
      </c>
      <c r="L58" s="3" t="s">
        <v>69</v>
      </c>
      <c r="M58">
        <v>30.885999999999999</v>
      </c>
    </row>
    <row r="59" spans="8:13" x14ac:dyDescent="0.35">
      <c r="H59">
        <v>17.414000000000001</v>
      </c>
      <c r="L59" s="5" t="s">
        <v>71</v>
      </c>
      <c r="M59">
        <v>17.414000000000001</v>
      </c>
    </row>
    <row r="60" spans="8:13" x14ac:dyDescent="0.35">
      <c r="H60">
        <v>17.876000000000001</v>
      </c>
      <c r="L60" s="5" t="s">
        <v>73</v>
      </c>
      <c r="M60">
        <v>17.876000000000001</v>
      </c>
    </row>
  </sheetData>
  <pageMargins left="0.7" right="0.7" top="0.78740157499999996" bottom="0.78740157499999996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span" negative="1" xr2:uid="{B480A720-7CB1-4AC7-98C8-1DB8020E1C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comp_reg!F2:F2</xm:f>
              <xm:sqref>G2</xm:sqref>
            </x14:sparkline>
            <x14:sparkline>
              <xm:f>comp_reg!F3:F3</xm:f>
              <xm:sqref>G3</xm:sqref>
            </x14:sparkline>
            <x14:sparkline>
              <xm:f>comp_reg!F4:F4</xm:f>
              <xm:sqref>G4</xm:sqref>
            </x14:sparkline>
            <x14:sparkline>
              <xm:f>comp_reg!F5:F5</xm:f>
              <xm:sqref>G5</xm:sqref>
            </x14:sparkline>
            <x14:sparkline>
              <xm:f>comp_reg!F6:F6</xm:f>
              <xm:sqref>G6</xm:sqref>
            </x14:sparkline>
            <x14:sparkline>
              <xm:f>comp_reg!F7:F7</xm:f>
              <xm:sqref>G7</xm:sqref>
            </x14:sparkline>
            <x14:sparkline>
              <xm:f>comp_reg!F8:F8</xm:f>
              <xm:sqref>G8</xm:sqref>
            </x14:sparkline>
            <x14:sparkline>
              <xm:f>comp_reg!F9:F9</xm:f>
              <xm:sqref>G9</xm:sqref>
            </x14:sparkline>
            <x14:sparkline>
              <xm:f>comp_reg!F10:F10</xm:f>
              <xm:sqref>G10</xm:sqref>
            </x14:sparkline>
            <x14:sparkline>
              <xm:f>comp_reg!F11:F11</xm:f>
              <xm:sqref>G11</xm:sqref>
            </x14:sparkline>
            <x14:sparkline>
              <xm:f>comp_reg!F12:F12</xm:f>
              <xm:sqref>G12</xm:sqref>
            </x14:sparkline>
            <x14:sparkline>
              <xm:f>comp_reg!F13:F13</xm:f>
              <xm:sqref>G13</xm:sqref>
            </x14:sparkline>
            <x14:sparkline>
              <xm:f>comp_reg!F14:F14</xm:f>
              <xm:sqref>G14</xm:sqref>
            </x14:sparkline>
            <x14:sparkline>
              <xm:f>comp_reg!F15:F15</xm:f>
              <xm:sqref>G15</xm:sqref>
            </x14:sparkline>
            <x14:sparkline>
              <xm:f>comp_reg!F16:F16</xm:f>
              <xm:sqref>G16</xm:sqref>
            </x14:sparkline>
            <x14:sparkline>
              <xm:f>comp_reg!F17:F17</xm:f>
              <xm:sqref>G17</xm:sqref>
            </x14:sparkline>
            <x14:sparkline>
              <xm:f>comp_reg!F18:F18</xm:f>
              <xm:sqref>G18</xm:sqref>
            </x14:sparkline>
            <x14:sparkline>
              <xm:f>comp_reg!F19:F19</xm:f>
              <xm:sqref>G19</xm:sqref>
            </x14:sparkline>
            <x14:sparkline>
              <xm:f>comp_reg!F20:F20</xm:f>
              <xm:sqref>G20</xm:sqref>
            </x14:sparkline>
            <x14:sparkline>
              <xm:f>comp_reg!F21:F21</xm:f>
              <xm:sqref>G21</xm:sqref>
            </x14:sparkline>
            <x14:sparkline>
              <xm:f>comp_reg!F22:F22</xm:f>
              <xm:sqref>G22</xm:sqref>
            </x14:sparkline>
            <x14:sparkline>
              <xm:f>comp_reg!F23:F23</xm:f>
              <xm:sqref>G23</xm:sqref>
            </x14:sparkline>
            <x14:sparkline>
              <xm:f>comp_reg!F24:F24</xm:f>
              <xm:sqref>G24</xm:sqref>
            </x14:sparkline>
            <x14:sparkline>
              <xm:f>comp_reg!F25:F25</xm:f>
              <xm:sqref>G25</xm:sqref>
            </x14:sparkline>
            <x14:sparkline>
              <xm:f>comp_reg!F26:F26</xm:f>
              <xm:sqref>G26</xm:sqref>
            </x14:sparkline>
            <x14:sparkline>
              <xm:f>comp_reg!F27:F27</xm:f>
              <xm:sqref>G27</xm:sqref>
            </x14:sparkline>
            <x14:sparkline>
              <xm:f>comp_reg!F28:F28</xm:f>
              <xm:sqref>G28</xm:sqref>
            </x14:sparkline>
            <x14:sparkline>
              <xm:f>comp_reg!F29:F29</xm:f>
              <xm:sqref>G29</xm:sqref>
            </x14:sparkline>
            <x14:sparkline>
              <xm:f>comp_reg!F30:F30</xm:f>
              <xm:sqref>G30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9EE6-98BE-47C4-9C66-C090679950F3}">
  <dimension ref="A1:P30"/>
  <sheetViews>
    <sheetView tabSelected="1" zoomScale="55" zoomScaleNormal="85" workbookViewId="0">
      <selection activeCell="O22" sqref="O22"/>
    </sheetView>
  </sheetViews>
  <sheetFormatPr baseColWidth="10" defaultRowHeight="14.5" x14ac:dyDescent="0.35"/>
  <cols>
    <col min="1" max="3" width="10.90625" style="19"/>
    <col min="15" max="15" width="31.54296875" customWidth="1"/>
  </cols>
  <sheetData>
    <row r="1" spans="1:16" x14ac:dyDescent="0.35">
      <c r="B1" s="19" t="s">
        <v>78</v>
      </c>
      <c r="C1" s="19" t="s">
        <v>0</v>
      </c>
      <c r="D1" s="1" t="s">
        <v>75</v>
      </c>
      <c r="E1" t="s">
        <v>76</v>
      </c>
      <c r="F1" t="s">
        <v>77</v>
      </c>
      <c r="H1" t="s">
        <v>5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s="6" t="s">
        <v>7</v>
      </c>
    </row>
    <row r="2" spans="1:16" x14ac:dyDescent="0.35">
      <c r="A2" s="20" t="s">
        <v>8</v>
      </c>
      <c r="B2" s="21">
        <v>3.1859999999999999E-2</v>
      </c>
      <c r="C2" s="21">
        <v>2.9720002999999998E-2</v>
      </c>
      <c r="D2" s="9">
        <f>C2-B2</f>
        <v>-2.1399970000000011E-3</v>
      </c>
      <c r="E2" s="14">
        <f>C2/B2-1</f>
        <v>-6.7168769617074742E-2</v>
      </c>
      <c r="F2" s="21">
        <f>SIGN(D2)*(ABS(D2))^(1/2)*M2</f>
        <v>-0.3320550092815166</v>
      </c>
      <c r="H2">
        <v>7.1779999999999999</v>
      </c>
      <c r="I2" t="s">
        <v>9</v>
      </c>
      <c r="J2">
        <v>243.88399999999999</v>
      </c>
      <c r="K2">
        <v>313.68</v>
      </c>
      <c r="L2">
        <v>283.45299999999997</v>
      </c>
      <c r="M2">
        <v>7.1779999999999999</v>
      </c>
      <c r="N2" t="s">
        <v>10</v>
      </c>
      <c r="O2" s="7" t="s">
        <v>11</v>
      </c>
    </row>
    <row r="3" spans="1:16" x14ac:dyDescent="0.35">
      <c r="A3" s="20" t="s">
        <v>12</v>
      </c>
      <c r="B3" s="21">
        <v>3.3489999999999999E-2</v>
      </c>
      <c r="C3" s="21">
        <v>3.8370902999999998E-2</v>
      </c>
      <c r="D3" s="9">
        <f t="shared" ref="D3:D30" si="0">C3-B3</f>
        <v>4.8809029999999989E-3</v>
      </c>
      <c r="E3" s="14">
        <f t="shared" ref="E3:E30" si="1">C3/B3-1</f>
        <v>0.1457421021200358</v>
      </c>
      <c r="F3" s="21">
        <f t="shared" ref="F3:F30" si="2">SIGN(D3)*(ABS(D3))^(1/2)*M3</f>
        <v>0.44817409391794943</v>
      </c>
      <c r="H3">
        <v>6.415</v>
      </c>
      <c r="I3" t="s">
        <v>13</v>
      </c>
      <c r="J3">
        <v>231.22800000000001</v>
      </c>
      <c r="K3">
        <v>300.12599999999998</v>
      </c>
      <c r="L3">
        <v>279.56099999999998</v>
      </c>
      <c r="M3">
        <v>6.415</v>
      </c>
      <c r="N3" t="s">
        <v>10</v>
      </c>
    </row>
    <row r="4" spans="1:16" x14ac:dyDescent="0.35">
      <c r="A4" s="22" t="s">
        <v>14</v>
      </c>
      <c r="B4" s="23">
        <v>0.58484999999999998</v>
      </c>
      <c r="C4" s="23">
        <v>0.73941731399999999</v>
      </c>
      <c r="D4" s="11">
        <f t="shared" si="0"/>
        <v>0.15456731400000001</v>
      </c>
      <c r="E4" s="15">
        <f t="shared" si="1"/>
        <v>0.26428539625545011</v>
      </c>
      <c r="F4" s="8">
        <f t="shared" si="2"/>
        <v>1.6724622180719131</v>
      </c>
      <c r="H4">
        <v>4.2539999999999996</v>
      </c>
      <c r="I4" t="s">
        <v>15</v>
      </c>
      <c r="J4">
        <v>-23.803000000000001</v>
      </c>
      <c r="K4">
        <v>24.904</v>
      </c>
      <c r="L4">
        <v>1.121</v>
      </c>
      <c r="M4">
        <v>4.2539999999999996</v>
      </c>
      <c r="N4" t="s">
        <v>16</v>
      </c>
      <c r="O4" s="2" t="s">
        <v>17</v>
      </c>
    </row>
    <row r="5" spans="1:16" x14ac:dyDescent="0.35">
      <c r="A5" s="22" t="s">
        <v>18</v>
      </c>
      <c r="B5" s="23">
        <v>0.92157999999999995</v>
      </c>
      <c r="C5" s="23">
        <v>1.0108456320000001</v>
      </c>
      <c r="D5" s="11">
        <f t="shared" si="0"/>
        <v>8.926563200000015E-2</v>
      </c>
      <c r="E5" s="15">
        <f t="shared" si="1"/>
        <v>9.6861511751557217E-2</v>
      </c>
      <c r="F5" s="8">
        <f t="shared" si="2"/>
        <v>1.1141265543481649</v>
      </c>
      <c r="H5">
        <v>3.7290000000000001</v>
      </c>
      <c r="I5" t="s">
        <v>19</v>
      </c>
      <c r="J5">
        <v>-21.876999999999999</v>
      </c>
      <c r="K5">
        <v>23.282</v>
      </c>
      <c r="L5">
        <v>0.53400000000000003</v>
      </c>
      <c r="M5">
        <v>3.7290000000000001</v>
      </c>
      <c r="N5" t="s">
        <v>16</v>
      </c>
      <c r="O5" s="5" t="s">
        <v>20</v>
      </c>
    </row>
    <row r="6" spans="1:16" x14ac:dyDescent="0.35">
      <c r="A6" s="24" t="s">
        <v>21</v>
      </c>
      <c r="B6" s="25">
        <v>7.1000000000000002E-4</v>
      </c>
      <c r="C6" s="25">
        <v>7.8719599999999999E-4</v>
      </c>
      <c r="D6" s="12">
        <f t="shared" si="0"/>
        <v>7.719599999999997E-5</v>
      </c>
      <c r="E6" s="16">
        <f t="shared" si="1"/>
        <v>0.10872676056338015</v>
      </c>
      <c r="F6" s="12">
        <f t="shared" si="2"/>
        <v>10.071509217355953</v>
      </c>
      <c r="H6">
        <v>1146.297</v>
      </c>
      <c r="I6" t="s">
        <v>22</v>
      </c>
      <c r="J6">
        <v>95517.687999999995</v>
      </c>
      <c r="K6">
        <v>104649.43799999999</v>
      </c>
      <c r="L6">
        <v>101385.317</v>
      </c>
      <c r="M6">
        <v>1146.297</v>
      </c>
      <c r="N6" t="s">
        <v>82</v>
      </c>
      <c r="O6" s="3" t="s">
        <v>24</v>
      </c>
    </row>
    <row r="7" spans="1:16" x14ac:dyDescent="0.35">
      <c r="A7" s="20" t="s">
        <v>25</v>
      </c>
      <c r="B7" s="21">
        <v>2.0709999999999999E-2</v>
      </c>
      <c r="C7" s="21">
        <v>2.1600000000000001E-2</v>
      </c>
      <c r="D7" s="9">
        <f t="shared" si="0"/>
        <v>8.900000000000019E-4</v>
      </c>
      <c r="E7" s="14">
        <f t="shared" si="1"/>
        <v>4.2974408498310135E-2</v>
      </c>
      <c r="F7" s="9">
        <f t="shared" si="2"/>
        <v>0.21217135565386791</v>
      </c>
      <c r="H7">
        <v>7.1120000000000001</v>
      </c>
      <c r="I7" t="s">
        <v>26</v>
      </c>
      <c r="J7">
        <v>255.04499999999999</v>
      </c>
      <c r="K7">
        <v>314.548</v>
      </c>
      <c r="L7">
        <v>284.73200000000003</v>
      </c>
      <c r="M7">
        <v>7.1120000000000001</v>
      </c>
      <c r="N7" t="s">
        <v>10</v>
      </c>
      <c r="O7" s="4" t="s">
        <v>93</v>
      </c>
    </row>
    <row r="8" spans="1:16" x14ac:dyDescent="0.35">
      <c r="A8" s="26" t="s">
        <v>28</v>
      </c>
      <c r="B8" s="27">
        <v>0.56689999999999996</v>
      </c>
      <c r="C8" s="27">
        <v>0.57772999999999997</v>
      </c>
      <c r="D8" s="13">
        <f t="shared" si="0"/>
        <v>1.0830000000000006E-2</v>
      </c>
      <c r="E8" s="17">
        <f t="shared" si="1"/>
        <v>1.9103898394778662E-2</v>
      </c>
      <c r="F8" s="27">
        <f t="shared" si="2"/>
        <v>1.6667416513905211</v>
      </c>
      <c r="H8">
        <v>16.015999999999998</v>
      </c>
      <c r="I8" t="s">
        <v>29</v>
      </c>
      <c r="J8">
        <v>5.9989999999999997</v>
      </c>
      <c r="K8">
        <v>203.81299999999999</v>
      </c>
      <c r="L8">
        <v>76.313999999999993</v>
      </c>
      <c r="M8">
        <v>16.015999999999998</v>
      </c>
      <c r="N8" t="s">
        <v>30</v>
      </c>
    </row>
    <row r="9" spans="1:16" x14ac:dyDescent="0.35">
      <c r="A9" s="22" t="s">
        <v>31</v>
      </c>
      <c r="B9" s="23">
        <v>0.60238999999999998</v>
      </c>
      <c r="C9" s="23">
        <v>0.74002999999999997</v>
      </c>
      <c r="D9" s="11">
        <f t="shared" si="0"/>
        <v>0.13763999999999998</v>
      </c>
      <c r="E9" s="15">
        <f t="shared" si="1"/>
        <v>0.22848984876906986</v>
      </c>
      <c r="F9" s="8">
        <f t="shared" si="2"/>
        <v>1.8453472964837812</v>
      </c>
      <c r="H9">
        <v>4.9740000000000002</v>
      </c>
      <c r="I9" t="s">
        <v>32</v>
      </c>
      <c r="J9">
        <v>-25.132000000000001</v>
      </c>
      <c r="K9">
        <v>26.074999999999999</v>
      </c>
      <c r="L9">
        <v>1.2190000000000001</v>
      </c>
      <c r="M9">
        <v>4.9740000000000002</v>
      </c>
      <c r="N9" t="s">
        <v>16</v>
      </c>
    </row>
    <row r="10" spans="1:16" x14ac:dyDescent="0.35">
      <c r="A10" s="22" t="s">
        <v>33</v>
      </c>
      <c r="B10" s="23">
        <v>0.89646000000000003</v>
      </c>
      <c r="C10" s="23">
        <v>1.03535</v>
      </c>
      <c r="D10" s="11">
        <f t="shared" si="0"/>
        <v>0.13888999999999996</v>
      </c>
      <c r="E10" s="15">
        <f t="shared" si="1"/>
        <v>0.15493161992726945</v>
      </c>
      <c r="F10" s="8">
        <f t="shared" si="2"/>
        <v>1.6010310759757287</v>
      </c>
      <c r="H10">
        <v>4.2960000000000003</v>
      </c>
      <c r="I10" t="s">
        <v>34</v>
      </c>
      <c r="J10">
        <v>-22.663</v>
      </c>
      <c r="K10">
        <v>24.797999999999998</v>
      </c>
      <c r="L10">
        <v>0.53800000000000003</v>
      </c>
      <c r="M10">
        <v>4.2960000000000003</v>
      </c>
      <c r="N10" t="s">
        <v>16</v>
      </c>
    </row>
    <row r="11" spans="1:16" x14ac:dyDescent="0.35">
      <c r="A11" s="20" t="s">
        <v>35</v>
      </c>
      <c r="B11" s="21">
        <v>3.5270000000000003E-2</v>
      </c>
      <c r="C11" s="21">
        <v>4.1516881999999998E-2</v>
      </c>
      <c r="D11" s="9">
        <f t="shared" si="0"/>
        <v>6.2468819999999953E-3</v>
      </c>
      <c r="E11" s="14">
        <f t="shared" si="1"/>
        <v>0.17711601927984111</v>
      </c>
      <c r="F11" s="8">
        <f t="shared" si="2"/>
        <v>0.55839795280467297</v>
      </c>
      <c r="H11">
        <v>7.0650000000000004</v>
      </c>
      <c r="I11" t="s">
        <v>36</v>
      </c>
      <c r="J11">
        <v>257.755</v>
      </c>
      <c r="K11">
        <v>308.94099999999997</v>
      </c>
      <c r="L11">
        <v>280.85199999999998</v>
      </c>
      <c r="M11">
        <v>7.0650000000000004</v>
      </c>
      <c r="N11" t="s">
        <v>10</v>
      </c>
      <c r="P11" t="s">
        <v>94</v>
      </c>
    </row>
    <row r="12" spans="1:16" x14ac:dyDescent="0.35">
      <c r="A12" s="26" t="s">
        <v>37</v>
      </c>
      <c r="B12" s="27">
        <v>0.64670000000000005</v>
      </c>
      <c r="C12" s="27">
        <v>0.67598999999999998</v>
      </c>
      <c r="D12" s="13">
        <f t="shared" si="0"/>
        <v>2.9289999999999927E-2</v>
      </c>
      <c r="E12" s="17">
        <f t="shared" si="1"/>
        <v>4.5291479820627645E-2</v>
      </c>
      <c r="F12" s="8">
        <f t="shared" si="2"/>
        <v>3.3752864838943633</v>
      </c>
      <c r="H12">
        <v>19.722000000000001</v>
      </c>
      <c r="I12" t="s">
        <v>38</v>
      </c>
      <c r="J12">
        <v>-8.3000000000000007</v>
      </c>
      <c r="K12">
        <v>199.815</v>
      </c>
      <c r="L12">
        <v>75.144000000000005</v>
      </c>
      <c r="M12">
        <v>19.722000000000001</v>
      </c>
      <c r="N12" t="s">
        <v>30</v>
      </c>
      <c r="P12" t="s">
        <v>79</v>
      </c>
    </row>
    <row r="13" spans="1:16" x14ac:dyDescent="0.35">
      <c r="A13" s="22" t="s">
        <v>39</v>
      </c>
      <c r="B13" s="23">
        <v>0.55811999999999995</v>
      </c>
      <c r="C13" s="23">
        <v>0.65371000000000001</v>
      </c>
      <c r="D13" s="11">
        <f t="shared" si="0"/>
        <v>9.5590000000000064E-2</v>
      </c>
      <c r="E13" s="15">
        <f t="shared" si="1"/>
        <v>0.1712714111660576</v>
      </c>
      <c r="F13" s="8">
        <f t="shared" si="2"/>
        <v>2.4125028647257611</v>
      </c>
      <c r="H13">
        <v>7.8029999999999999</v>
      </c>
      <c r="I13" t="s">
        <v>40</v>
      </c>
      <c r="J13">
        <v>-40.853000000000002</v>
      </c>
      <c r="K13">
        <v>44.146000000000001</v>
      </c>
      <c r="L13">
        <v>3.0819999999999999</v>
      </c>
      <c r="M13">
        <v>7.8029999999999999</v>
      </c>
      <c r="N13" t="s">
        <v>16</v>
      </c>
    </row>
    <row r="14" spans="1:16" x14ac:dyDescent="0.35">
      <c r="A14" s="22" t="s">
        <v>41</v>
      </c>
      <c r="B14" s="23">
        <v>0.95809</v>
      </c>
      <c r="C14" s="23">
        <v>1.05392</v>
      </c>
      <c r="D14" s="11">
        <f t="shared" si="0"/>
        <v>9.5829999999999971E-2</v>
      </c>
      <c r="E14" s="15">
        <f t="shared" si="1"/>
        <v>0.10002191860889886</v>
      </c>
      <c r="F14" s="8">
        <f t="shared" si="2"/>
        <v>1.9267276419047916</v>
      </c>
      <c r="H14">
        <v>6.2240000000000002</v>
      </c>
      <c r="I14" t="s">
        <v>42</v>
      </c>
      <c r="J14">
        <v>-34.988</v>
      </c>
      <c r="K14">
        <v>34.201000000000001</v>
      </c>
      <c r="L14">
        <v>0.83799999999999997</v>
      </c>
      <c r="M14">
        <v>6.2240000000000002</v>
      </c>
      <c r="N14" t="s">
        <v>16</v>
      </c>
    </row>
    <row r="15" spans="1:16" x14ac:dyDescent="0.35">
      <c r="A15" s="20" t="s">
        <v>43</v>
      </c>
      <c r="B15" s="21">
        <v>5.5169999999999997E-2</v>
      </c>
      <c r="C15" s="21">
        <v>6.6299999999999998E-2</v>
      </c>
      <c r="D15" s="9">
        <f t="shared" si="0"/>
        <v>1.1130000000000001E-2</v>
      </c>
      <c r="E15" s="14">
        <f t="shared" si="1"/>
        <v>0.20174007612833056</v>
      </c>
      <c r="F15" s="8">
        <f t="shared" si="2"/>
        <v>0.71380498336730602</v>
      </c>
      <c r="H15">
        <v>6.766</v>
      </c>
      <c r="I15" t="s">
        <v>44</v>
      </c>
      <c r="J15">
        <v>253.68299999999999</v>
      </c>
      <c r="K15">
        <v>301.58600000000001</v>
      </c>
      <c r="L15">
        <v>277.02199999999999</v>
      </c>
      <c r="M15">
        <v>6.766</v>
      </c>
      <c r="N15" t="s">
        <v>10</v>
      </c>
    </row>
    <row r="16" spans="1:16" x14ac:dyDescent="0.35">
      <c r="A16" s="26" t="s">
        <v>45</v>
      </c>
      <c r="B16" s="27">
        <v>0.88412999999999997</v>
      </c>
      <c r="C16" s="27">
        <v>0.85543999999999998</v>
      </c>
      <c r="D16" s="13">
        <f t="shared" si="0"/>
        <v>-2.8689999999999993E-2</v>
      </c>
      <c r="E16" s="17">
        <f t="shared" si="1"/>
        <v>-3.244997907547531E-2</v>
      </c>
      <c r="F16" s="18">
        <f t="shared" si="2"/>
        <v>-4.0990256891119863</v>
      </c>
      <c r="H16">
        <v>24.2</v>
      </c>
      <c r="I16" t="s">
        <v>46</v>
      </c>
      <c r="J16">
        <v>-5.9909999999999997</v>
      </c>
      <c r="K16">
        <v>206.18100000000001</v>
      </c>
      <c r="L16">
        <v>69.373999999999995</v>
      </c>
      <c r="M16">
        <v>24.2</v>
      </c>
      <c r="N16" t="s">
        <v>30</v>
      </c>
    </row>
    <row r="17" spans="1:14" x14ac:dyDescent="0.35">
      <c r="A17" s="22" t="s">
        <v>47</v>
      </c>
      <c r="B17" s="23">
        <v>0.49880999999999998</v>
      </c>
      <c r="C17" s="23">
        <v>0.61517999999999995</v>
      </c>
      <c r="D17" s="11">
        <f t="shared" si="0"/>
        <v>0.11636999999999997</v>
      </c>
      <c r="E17" s="15">
        <f t="shared" si="1"/>
        <v>0.23329524267757251</v>
      </c>
      <c r="F17" s="8">
        <f t="shared" si="2"/>
        <v>2.810915102239838</v>
      </c>
      <c r="H17">
        <v>8.24</v>
      </c>
      <c r="I17" t="s">
        <v>48</v>
      </c>
      <c r="J17">
        <v>-39.677</v>
      </c>
      <c r="K17">
        <v>44.381</v>
      </c>
      <c r="L17">
        <v>4.4189999999999996</v>
      </c>
      <c r="M17">
        <v>8.24</v>
      </c>
      <c r="N17" t="s">
        <v>16</v>
      </c>
    </row>
    <row r="18" spans="1:14" x14ac:dyDescent="0.35">
      <c r="A18" s="22" t="s">
        <v>49</v>
      </c>
      <c r="B18" s="23">
        <v>0.92476000000000003</v>
      </c>
      <c r="C18" s="23">
        <v>0.99129</v>
      </c>
      <c r="D18" s="11">
        <f t="shared" si="0"/>
        <v>6.6529999999999978E-2</v>
      </c>
      <c r="E18" s="15">
        <f t="shared" si="1"/>
        <v>7.1942990613780955E-2</v>
      </c>
      <c r="F18" s="8">
        <f t="shared" si="2"/>
        <v>1.6376236016038603</v>
      </c>
      <c r="H18">
        <v>6.3490000000000002</v>
      </c>
      <c r="I18" t="s">
        <v>50</v>
      </c>
      <c r="J18">
        <v>-39.555</v>
      </c>
      <c r="K18">
        <v>37.898000000000003</v>
      </c>
      <c r="L18">
        <v>0.42199999999999999</v>
      </c>
      <c r="M18">
        <v>6.3490000000000002</v>
      </c>
      <c r="N18" t="s">
        <v>16</v>
      </c>
    </row>
    <row r="19" spans="1:14" x14ac:dyDescent="0.35">
      <c r="A19" s="20" t="s">
        <v>51</v>
      </c>
      <c r="B19" s="21">
        <v>0.15662999999999999</v>
      </c>
      <c r="C19" s="21">
        <v>0.19547</v>
      </c>
      <c r="D19" s="9">
        <f t="shared" si="0"/>
        <v>3.8840000000000013E-2</v>
      </c>
      <c r="E19" s="14">
        <f t="shared" si="1"/>
        <v>0.24797292983464225</v>
      </c>
      <c r="F19" s="8">
        <f t="shared" si="2"/>
        <v>1.2559823288406571</v>
      </c>
      <c r="H19">
        <v>6.3730000000000002</v>
      </c>
      <c r="I19" t="s">
        <v>52</v>
      </c>
      <c r="J19">
        <v>246.93299999999999</v>
      </c>
      <c r="K19">
        <v>288.209</v>
      </c>
      <c r="L19">
        <v>268.82900000000001</v>
      </c>
      <c r="M19">
        <v>6.3730000000000002</v>
      </c>
      <c r="N19" t="s">
        <v>10</v>
      </c>
    </row>
    <row r="20" spans="1:14" x14ac:dyDescent="0.35">
      <c r="A20" s="26" t="s">
        <v>53</v>
      </c>
      <c r="B20" s="27">
        <v>0.95635000000000003</v>
      </c>
      <c r="C20" s="27">
        <v>0.93478000000000006</v>
      </c>
      <c r="D20" s="13">
        <f t="shared" si="0"/>
        <v>-2.1569999999999978E-2</v>
      </c>
      <c r="E20" s="17">
        <f t="shared" si="1"/>
        <v>-2.2554504104145945E-2</v>
      </c>
      <c r="F20" s="18">
        <f t="shared" si="2"/>
        <v>-4.3021834390144251</v>
      </c>
      <c r="H20">
        <v>29.292999999999999</v>
      </c>
      <c r="I20" t="s">
        <v>54</v>
      </c>
      <c r="J20">
        <v>-7.79</v>
      </c>
      <c r="K20">
        <v>134.40100000000001</v>
      </c>
      <c r="L20">
        <v>54.890999999999998</v>
      </c>
      <c r="M20">
        <v>29.292999999999999</v>
      </c>
      <c r="N20" t="s">
        <v>30</v>
      </c>
    </row>
    <row r="21" spans="1:14" x14ac:dyDescent="0.35">
      <c r="A21" s="22" t="s">
        <v>55</v>
      </c>
      <c r="B21" s="23">
        <v>0.50856999999999997</v>
      </c>
      <c r="C21" s="23">
        <v>0.64131000000000005</v>
      </c>
      <c r="D21" s="11">
        <f t="shared" si="0"/>
        <v>0.13274000000000008</v>
      </c>
      <c r="E21" s="15">
        <f t="shared" si="1"/>
        <v>0.261006351141436</v>
      </c>
      <c r="F21" s="8">
        <f t="shared" si="2"/>
        <v>3.2214501643452453</v>
      </c>
      <c r="H21">
        <v>8.8420000000000005</v>
      </c>
      <c r="I21" t="s">
        <v>56</v>
      </c>
      <c r="J21">
        <v>-34.505000000000003</v>
      </c>
      <c r="K21">
        <v>47.768000000000001</v>
      </c>
      <c r="L21">
        <v>6.6689999999999996</v>
      </c>
      <c r="M21">
        <v>8.8420000000000005</v>
      </c>
      <c r="N21" t="s">
        <v>16</v>
      </c>
    </row>
    <row r="22" spans="1:14" x14ac:dyDescent="0.35">
      <c r="A22" s="22" t="s">
        <v>57</v>
      </c>
      <c r="B22" s="23">
        <v>0.82233999999999996</v>
      </c>
      <c r="C22" s="23">
        <v>0.87394000000000005</v>
      </c>
      <c r="D22" s="11">
        <f t="shared" si="0"/>
        <v>5.160000000000009E-2</v>
      </c>
      <c r="E22" s="15">
        <f t="shared" si="1"/>
        <v>6.2747768562881667E-2</v>
      </c>
      <c r="F22" s="8">
        <f t="shared" si="2"/>
        <v>1.6950405630544672</v>
      </c>
      <c r="H22">
        <v>7.4619999999999997</v>
      </c>
      <c r="I22" t="s">
        <v>58</v>
      </c>
      <c r="J22">
        <v>-34.704000000000001</v>
      </c>
      <c r="K22">
        <v>42.732999999999997</v>
      </c>
      <c r="L22">
        <v>-0.26800000000000002</v>
      </c>
      <c r="M22">
        <v>7.4619999999999997</v>
      </c>
      <c r="N22" t="s">
        <v>16</v>
      </c>
    </row>
    <row r="23" spans="1:14" x14ac:dyDescent="0.35">
      <c r="A23" s="20" t="s">
        <v>59</v>
      </c>
      <c r="B23" s="21">
        <v>0.28277999999999998</v>
      </c>
      <c r="C23" s="21">
        <v>0.34506999999999999</v>
      </c>
      <c r="D23" s="9">
        <f t="shared" si="0"/>
        <v>6.2290000000000012E-2</v>
      </c>
      <c r="E23" s="14">
        <f t="shared" si="1"/>
        <v>0.22027724733008003</v>
      </c>
      <c r="F23" s="8">
        <f t="shared" si="2"/>
        <v>1.6479744065397377</v>
      </c>
      <c r="H23">
        <v>6.6029999999999998</v>
      </c>
      <c r="I23" t="s">
        <v>60</v>
      </c>
      <c r="J23">
        <v>228.42099999999999</v>
      </c>
      <c r="K23">
        <v>269.642</v>
      </c>
      <c r="L23">
        <v>252.79900000000001</v>
      </c>
      <c r="M23">
        <v>6.6029999999999998</v>
      </c>
      <c r="N23" t="s">
        <v>10</v>
      </c>
    </row>
    <row r="24" spans="1:14" x14ac:dyDescent="0.35">
      <c r="A24" s="26" t="s">
        <v>61</v>
      </c>
      <c r="B24" s="27">
        <v>1.02234</v>
      </c>
      <c r="C24" s="27">
        <v>1.01976</v>
      </c>
      <c r="D24" s="13">
        <f t="shared" si="0"/>
        <v>-2.5800000000000267E-3</v>
      </c>
      <c r="E24" s="17">
        <f t="shared" si="1"/>
        <v>-2.5236222783027173E-3</v>
      </c>
      <c r="F24" s="13">
        <f t="shared" si="2"/>
        <v>-1.5549983439476791</v>
      </c>
      <c r="H24">
        <v>30.614000000000001</v>
      </c>
      <c r="I24" t="s">
        <v>62</v>
      </c>
      <c r="J24">
        <v>-10.193</v>
      </c>
      <c r="K24">
        <v>143.553</v>
      </c>
      <c r="L24">
        <v>53.350999999999999</v>
      </c>
      <c r="M24">
        <v>30.614000000000001</v>
      </c>
      <c r="N24" t="s">
        <v>30</v>
      </c>
    </row>
    <row r="25" spans="1:14" x14ac:dyDescent="0.35">
      <c r="A25" s="22" t="s">
        <v>63</v>
      </c>
      <c r="B25" s="23">
        <v>0.54557999999999995</v>
      </c>
      <c r="C25" s="23">
        <v>0.67945</v>
      </c>
      <c r="D25" s="11">
        <f t="shared" si="0"/>
        <v>0.13387000000000004</v>
      </c>
      <c r="E25" s="15">
        <f t="shared" si="1"/>
        <v>0.24537189779684021</v>
      </c>
      <c r="F25" s="8">
        <f t="shared" si="2"/>
        <v>4.2610675344237396</v>
      </c>
      <c r="H25">
        <v>11.646000000000001</v>
      </c>
      <c r="I25" t="s">
        <v>64</v>
      </c>
      <c r="J25">
        <v>-44.463999999999999</v>
      </c>
      <c r="K25">
        <v>65.424999999999997</v>
      </c>
      <c r="L25">
        <v>10.005000000000001</v>
      </c>
      <c r="M25">
        <v>11.646000000000001</v>
      </c>
      <c r="N25" t="s">
        <v>16</v>
      </c>
    </row>
    <row r="26" spans="1:14" x14ac:dyDescent="0.35">
      <c r="A26" s="22" t="s">
        <v>65</v>
      </c>
      <c r="B26" s="23">
        <v>0.86199000000000003</v>
      </c>
      <c r="C26" s="23">
        <v>0.82447000000000004</v>
      </c>
      <c r="D26" s="11">
        <f t="shared" si="0"/>
        <v>-3.7519999999999998E-2</v>
      </c>
      <c r="E26" s="15">
        <f t="shared" si="1"/>
        <v>-4.3527187090337427E-2</v>
      </c>
      <c r="F26" s="18">
        <f t="shared" si="2"/>
        <v>-2.1107576198322722</v>
      </c>
      <c r="H26">
        <v>10.897</v>
      </c>
      <c r="I26" t="s">
        <v>66</v>
      </c>
      <c r="J26">
        <v>-54.683999999999997</v>
      </c>
      <c r="K26">
        <v>46.356999999999999</v>
      </c>
      <c r="L26">
        <v>-1.3149999999999999</v>
      </c>
      <c r="M26">
        <v>10.897</v>
      </c>
      <c r="N26" t="s">
        <v>16</v>
      </c>
    </row>
    <row r="27" spans="1:14" x14ac:dyDescent="0.35">
      <c r="A27" s="20" t="s">
        <v>67</v>
      </c>
      <c r="B27" s="21">
        <v>2.0600000000000002E-3</v>
      </c>
      <c r="C27" s="21">
        <v>1.72E-3</v>
      </c>
      <c r="D27" s="9">
        <f t="shared" si="0"/>
        <v>-3.4000000000000024E-4</v>
      </c>
      <c r="E27" s="14">
        <f t="shared" si="1"/>
        <v>-0.16504854368932054</v>
      </c>
      <c r="F27" s="9">
        <f t="shared" si="2"/>
        <v>-0.10183908807525727</v>
      </c>
      <c r="H27">
        <v>5.5229999999999997</v>
      </c>
      <c r="I27" t="s">
        <v>68</v>
      </c>
      <c r="J27">
        <v>207.71</v>
      </c>
      <c r="K27">
        <v>244.25399999999999</v>
      </c>
      <c r="L27">
        <v>226.71600000000001</v>
      </c>
      <c r="M27">
        <v>5.5229999999999997</v>
      </c>
      <c r="N27" t="s">
        <v>10</v>
      </c>
    </row>
    <row r="28" spans="1:14" x14ac:dyDescent="0.35">
      <c r="A28" s="26" t="s">
        <v>69</v>
      </c>
      <c r="B28" s="27">
        <v>0.99380999999999997</v>
      </c>
      <c r="C28" s="27">
        <v>0.98757474099999998</v>
      </c>
      <c r="D28" s="13">
        <f t="shared" si="0"/>
        <v>-6.235258999999993E-3</v>
      </c>
      <c r="E28" s="17">
        <f t="shared" si="1"/>
        <v>-6.2740956520863644E-3</v>
      </c>
      <c r="F28" s="18">
        <f t="shared" si="2"/>
        <v>-2.4388714853009281</v>
      </c>
      <c r="H28">
        <v>30.885999999999999</v>
      </c>
      <c r="I28" t="s">
        <v>70</v>
      </c>
      <c r="J28">
        <v>-12.782999999999999</v>
      </c>
      <c r="K28">
        <v>172.089</v>
      </c>
      <c r="L28">
        <v>63.448</v>
      </c>
      <c r="M28">
        <v>30.885999999999999</v>
      </c>
      <c r="N28" t="s">
        <v>30</v>
      </c>
    </row>
    <row r="29" spans="1:14" x14ac:dyDescent="0.35">
      <c r="A29" s="22" t="s">
        <v>71</v>
      </c>
      <c r="B29" s="23">
        <v>0.60716999999999999</v>
      </c>
      <c r="C29" s="23">
        <v>0.72311000000000003</v>
      </c>
      <c r="D29" s="11">
        <f t="shared" si="0"/>
        <v>0.11594000000000004</v>
      </c>
      <c r="E29" s="15">
        <f t="shared" si="1"/>
        <v>0.1909514633463445</v>
      </c>
      <c r="F29" s="8">
        <f t="shared" si="2"/>
        <v>5.9294606071918565</v>
      </c>
      <c r="H29">
        <v>17.414000000000001</v>
      </c>
      <c r="I29" t="s">
        <v>72</v>
      </c>
      <c r="J29">
        <v>-64.671000000000006</v>
      </c>
      <c r="K29">
        <v>88.656000000000006</v>
      </c>
      <c r="L29">
        <v>14.885999999999999</v>
      </c>
      <c r="M29">
        <v>17.414000000000001</v>
      </c>
      <c r="N29" t="s">
        <v>16</v>
      </c>
    </row>
    <row r="30" spans="1:14" x14ac:dyDescent="0.35">
      <c r="A30" s="22" t="s">
        <v>73</v>
      </c>
      <c r="B30" s="23">
        <v>0.90837999999999997</v>
      </c>
      <c r="C30" s="23">
        <v>0.8639</v>
      </c>
      <c r="D30" s="11">
        <f t="shared" si="0"/>
        <v>-4.4479999999999964E-2</v>
      </c>
      <c r="E30" s="15">
        <f t="shared" si="1"/>
        <v>-4.8966291640062498E-2</v>
      </c>
      <c r="F30" s="18">
        <f t="shared" si="2"/>
        <v>-3.7700988321899453</v>
      </c>
      <c r="H30">
        <v>17.876000000000001</v>
      </c>
      <c r="I30" t="s">
        <v>74</v>
      </c>
      <c r="J30">
        <v>-78.251000000000005</v>
      </c>
      <c r="K30">
        <v>68.406000000000006</v>
      </c>
      <c r="L30">
        <v>-2.867</v>
      </c>
      <c r="M30">
        <v>17.876000000000001</v>
      </c>
      <c r="N30" t="s">
        <v>16</v>
      </c>
    </row>
  </sheetData>
  <pageMargins left="0.7" right="0.7" top="0.78740157499999996" bottom="0.78740157499999996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span" negative="1" xr2:uid="{D8BB000D-A133-4C0A-97F9-99672E8A8C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comp_reg_lgctx!F2:F2</xm:f>
              <xm:sqref>G2</xm:sqref>
            </x14:sparkline>
            <x14:sparkline>
              <xm:f>comp_reg_lgctx!F3:F3</xm:f>
              <xm:sqref>G3</xm:sqref>
            </x14:sparkline>
            <x14:sparkline>
              <xm:f>comp_reg_lgctx!F4:F4</xm:f>
              <xm:sqref>G4</xm:sqref>
            </x14:sparkline>
            <x14:sparkline>
              <xm:f>comp_reg_lgctx!F5:F5</xm:f>
              <xm:sqref>G5</xm:sqref>
            </x14:sparkline>
            <x14:sparkline>
              <xm:f>comp_reg_lgctx!F6:F6</xm:f>
              <xm:sqref>G6</xm:sqref>
            </x14:sparkline>
            <x14:sparkline>
              <xm:f>comp_reg_lgctx!F7:F7</xm:f>
              <xm:sqref>G7</xm:sqref>
            </x14:sparkline>
            <x14:sparkline>
              <xm:f>comp_reg_lgctx!F8:F8</xm:f>
              <xm:sqref>G8</xm:sqref>
            </x14:sparkline>
            <x14:sparkline>
              <xm:f>comp_reg_lgctx!F9:F9</xm:f>
              <xm:sqref>G9</xm:sqref>
            </x14:sparkline>
            <x14:sparkline>
              <xm:f>comp_reg_lgctx!F10:F10</xm:f>
              <xm:sqref>G10</xm:sqref>
            </x14:sparkline>
            <x14:sparkline>
              <xm:f>comp_reg_lgctx!F11:F11</xm:f>
              <xm:sqref>G11</xm:sqref>
            </x14:sparkline>
            <x14:sparkline>
              <xm:f>comp_reg_lgctx!F12:F12</xm:f>
              <xm:sqref>G12</xm:sqref>
            </x14:sparkline>
            <x14:sparkline>
              <xm:f>comp_reg_lgctx!F13:F13</xm:f>
              <xm:sqref>G13</xm:sqref>
            </x14:sparkline>
            <x14:sparkline>
              <xm:f>comp_reg_lgctx!F14:F14</xm:f>
              <xm:sqref>G14</xm:sqref>
            </x14:sparkline>
            <x14:sparkline>
              <xm:f>comp_reg_lgctx!F15:F15</xm:f>
              <xm:sqref>G15</xm:sqref>
            </x14:sparkline>
            <x14:sparkline>
              <xm:f>comp_reg_lgctx!F16:F16</xm:f>
              <xm:sqref>G16</xm:sqref>
            </x14:sparkline>
            <x14:sparkline>
              <xm:f>comp_reg_lgctx!F17:F17</xm:f>
              <xm:sqref>G17</xm:sqref>
            </x14:sparkline>
            <x14:sparkline>
              <xm:f>comp_reg_lgctx!F18:F18</xm:f>
              <xm:sqref>G18</xm:sqref>
            </x14:sparkline>
            <x14:sparkline>
              <xm:f>comp_reg_lgctx!F19:F19</xm:f>
              <xm:sqref>G19</xm:sqref>
            </x14:sparkline>
            <x14:sparkline>
              <xm:f>comp_reg_lgctx!F20:F20</xm:f>
              <xm:sqref>G20</xm:sqref>
            </x14:sparkline>
            <x14:sparkline>
              <xm:f>comp_reg_lgctx!F21:F21</xm:f>
              <xm:sqref>G21</xm:sqref>
            </x14:sparkline>
            <x14:sparkline>
              <xm:f>comp_reg_lgctx!F22:F22</xm:f>
              <xm:sqref>G22</xm:sqref>
            </x14:sparkline>
            <x14:sparkline>
              <xm:f>comp_reg_lgctx!F23:F23</xm:f>
              <xm:sqref>G23</xm:sqref>
            </x14:sparkline>
            <x14:sparkline>
              <xm:f>comp_reg_lgctx!F24:F24</xm:f>
              <xm:sqref>G24</xm:sqref>
            </x14:sparkline>
            <x14:sparkline>
              <xm:f>comp_reg_lgctx!F25:F25</xm:f>
              <xm:sqref>G25</xm:sqref>
            </x14:sparkline>
            <x14:sparkline>
              <xm:f>comp_reg_lgctx!F26:F26</xm:f>
              <xm:sqref>G26</xm:sqref>
            </x14:sparkline>
            <x14:sparkline>
              <xm:f>comp_reg_lgctx!F27:F27</xm:f>
              <xm:sqref>G27</xm:sqref>
            </x14:sparkline>
            <x14:sparkline>
              <xm:f>comp_reg_lgctx!F28:F28</xm:f>
              <xm:sqref>G28</xm:sqref>
            </x14:sparkline>
            <x14:sparkline>
              <xm:f>comp_reg_lgctx!F29:F29</xm:f>
              <xm:sqref>G29</xm:sqref>
            </x14:sparkline>
            <x14:sparkline>
              <xm:f>comp_reg_lgctx!F30:F30</xm:f>
              <xm:sqref>G30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comparison_lgcxt</vt:lpstr>
      <vt:lpstr>comp_reg</vt:lpstr>
      <vt:lpstr>comp_reg_lgctx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Al Hahbare</dc:creator>
  <cp:lastModifiedBy>Yassir Al Hahbare</cp:lastModifiedBy>
  <dcterms:created xsi:type="dcterms:W3CDTF">2025-10-23T17:09:44Z</dcterms:created>
  <dcterms:modified xsi:type="dcterms:W3CDTF">2025-10-27T12:44:51Z</dcterms:modified>
</cp:coreProperties>
</file>